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M1 - Manager le systéme qualité\6 - Enregistrements\PDCA\"/>
    </mc:Choice>
  </mc:AlternateContent>
  <xr:revisionPtr revIDLastSave="0" documentId="8_{BEBE5AE3-3C13-4DDE-8118-57A2658E7CC7}" xr6:coauthVersionLast="47" xr6:coauthVersionMax="47" xr10:uidLastSave="{00000000-0000-0000-0000-000000000000}"/>
  <bookViews>
    <workbookView xWindow="-120" yWindow="-120" windowWidth="29040" windowHeight="15840" tabRatio="733" firstSheet="9" activeTab="9" xr2:uid="{C236030B-5940-4C3C-8C5E-F071DBFE3374}"/>
  </bookViews>
  <sheets>
    <sheet name="base_Sage bi reporting" sheetId="7" r:id="rId1"/>
    <sheet name="base_Suivi autre" sheetId="6" r:id="rId2"/>
    <sheet name="SYNTHESE PDCA Indicateurs RSE" sheetId="2" r:id="rId3"/>
    <sheet name="ENV_Suivi électricité" sheetId="10" r:id="rId4"/>
    <sheet name="ENV_Suivi déchets" sheetId="11" r:id="rId5"/>
    <sheet name="ENV_Suivi copies" sheetId="29" r:id="rId6"/>
    <sheet name="ENV_Analyse Env" sheetId="14" r:id="rId7"/>
    <sheet name="SOC_Liste personnel" sheetId="28" r:id="rId8"/>
    <sheet name="SOC_Abs" sheetId="8" r:id="rId9"/>
    <sheet name="SOC_PDF" sheetId="9" r:id="rId10"/>
    <sheet name="RGPD_Fichier de violation do" sheetId="13" r:id="rId11"/>
  </sheets>
  <externalReferences>
    <externalReference r:id="rId12"/>
  </externalReferences>
  <definedNames>
    <definedName name="_xlnm._FilterDatabase" localSheetId="9" hidden="1">SOC_PDF!$A$6:$WVV$40</definedName>
    <definedName name="_xlnm._FilterDatabase" localSheetId="2" hidden="1">'SYNTHESE PDCA Indicateurs RSE'!$A$7:$IR$59</definedName>
    <definedName name="Processus">[1]Menu!$A$2:$A$11</definedName>
    <definedName name="_xlnm.Print_Area" localSheetId="8">SOC_Abs!$A$1:$N$32</definedName>
    <definedName name="_xlnm.Print_Area" localSheetId="2">'SYNTHESE PDCA Indicateurs RSE'!$A$1:$AF$55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0" l="1"/>
  <c r="J24" i="10"/>
  <c r="P15" i="9" l="1"/>
  <c r="P16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T15" i="9"/>
  <c r="T16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J21" i="10"/>
  <c r="H55" i="9" l="1"/>
  <c r="Q43" i="9"/>
  <c r="O43" i="9"/>
  <c r="N43" i="9"/>
  <c r="L43" i="9"/>
  <c r="P14" i="9"/>
  <c r="T14" i="9" s="1"/>
  <c r="P13" i="9"/>
  <c r="T13" i="9" s="1"/>
  <c r="P12" i="9"/>
  <c r="T12" i="9" s="1"/>
  <c r="P11" i="9"/>
  <c r="T11" i="9" s="1"/>
  <c r="P10" i="9"/>
  <c r="T10" i="9" s="1"/>
  <c r="P9" i="9"/>
  <c r="T9" i="9" s="1"/>
  <c r="P8" i="9"/>
  <c r="T8" i="9" s="1"/>
  <c r="P7" i="9"/>
  <c r="M20" i="9"/>
  <c r="P20" i="9" s="1"/>
  <c r="T20" i="9" s="1"/>
  <c r="M19" i="9"/>
  <c r="P19" i="9" s="1"/>
  <c r="T19" i="9" s="1"/>
  <c r="M18" i="9"/>
  <c r="P18" i="9" s="1"/>
  <c r="T18" i="9" s="1"/>
  <c r="M17" i="9"/>
  <c r="P17" i="9" s="1"/>
  <c r="T17" i="9" s="1"/>
  <c r="K15" i="9"/>
  <c r="K14" i="9"/>
  <c r="K13" i="9"/>
  <c r="K12" i="9"/>
  <c r="K11" i="9"/>
  <c r="K10" i="9"/>
  <c r="H50" i="9" s="1"/>
  <c r="K9" i="9"/>
  <c r="H49" i="9" s="1"/>
  <c r="H51" i="9" s="1"/>
  <c r="K8" i="9"/>
  <c r="H47" i="9" s="1"/>
  <c r="K7" i="9"/>
  <c r="N26" i="8"/>
  <c r="N25" i="8"/>
  <c r="M21" i="8"/>
  <c r="L21" i="8"/>
  <c r="K21" i="8"/>
  <c r="J21" i="8"/>
  <c r="I21" i="8"/>
  <c r="H21" i="8"/>
  <c r="G21" i="8"/>
  <c r="F21" i="8"/>
  <c r="E21" i="8"/>
  <c r="D21" i="8"/>
  <c r="C21" i="8"/>
  <c r="B21" i="8"/>
  <c r="N20" i="8"/>
  <c r="N19" i="8"/>
  <c r="N18" i="8"/>
  <c r="N17" i="8"/>
  <c r="N14" i="8"/>
  <c r="M12" i="8"/>
  <c r="L12" i="8"/>
  <c r="K12" i="8"/>
  <c r="J12" i="8"/>
  <c r="I12" i="8"/>
  <c r="H12" i="8"/>
  <c r="G12" i="8"/>
  <c r="F12" i="8"/>
  <c r="E12" i="8"/>
  <c r="D12" i="8"/>
  <c r="C12" i="8"/>
  <c r="B12" i="8" a="1"/>
  <c r="B12" i="8" s="1"/>
  <c r="N12" i="8" s="1"/>
  <c r="M10" i="8"/>
  <c r="L10" i="8"/>
  <c r="K10" i="8"/>
  <c r="J10" i="8"/>
  <c r="I10" i="8"/>
  <c r="M9" i="8"/>
  <c r="M11" i="8" s="1"/>
  <c r="L9" i="8"/>
  <c r="L11" i="8" s="1"/>
  <c r="K9" i="8"/>
  <c r="K11" i="8" s="1"/>
  <c r="J9" i="8"/>
  <c r="J11" i="8" s="1"/>
  <c r="I9" i="8"/>
  <c r="I11" i="8" s="1"/>
  <c r="H10" i="8"/>
  <c r="G10" i="8"/>
  <c r="F10" i="8"/>
  <c r="E10" i="8"/>
  <c r="D10" i="8"/>
  <c r="C10" i="8"/>
  <c r="B10" i="8"/>
  <c r="N10" i="8" s="1"/>
  <c r="H9" i="8"/>
  <c r="G9" i="8"/>
  <c r="G11" i="8" s="1"/>
  <c r="F9" i="8"/>
  <c r="F11" i="8" s="1"/>
  <c r="E9" i="8"/>
  <c r="E11" i="8" s="1"/>
  <c r="D9" i="8"/>
  <c r="D11" i="8" s="1"/>
  <c r="C9" i="8"/>
  <c r="C11" i="8" s="1"/>
  <c r="B9" i="8"/>
  <c r="M6" i="8"/>
  <c r="L6" i="8"/>
  <c r="K6" i="8"/>
  <c r="J6" i="8"/>
  <c r="I6" i="8"/>
  <c r="H6" i="8"/>
  <c r="G6" i="8"/>
  <c r="F6" i="8"/>
  <c r="E6" i="8"/>
  <c r="D6" i="8"/>
  <c r="C6" i="8"/>
  <c r="B6" i="8"/>
  <c r="M9" i="14"/>
  <c r="M8" i="14"/>
  <c r="I12" i="14"/>
  <c r="I11" i="14"/>
  <c r="I10" i="14"/>
  <c r="M12" i="14" s="1"/>
  <c r="I9" i="14"/>
  <c r="M11" i="14" s="1"/>
  <c r="I8" i="14"/>
  <c r="M10" i="14" s="1"/>
  <c r="I33" i="29"/>
  <c r="I32" i="29"/>
  <c r="I31" i="29"/>
  <c r="E33" i="29"/>
  <c r="E32" i="29"/>
  <c r="E31" i="29"/>
  <c r="G30" i="29"/>
  <c r="I30" i="29" s="1"/>
  <c r="C30" i="29"/>
  <c r="E30" i="29" s="1"/>
  <c r="G28" i="29"/>
  <c r="I28" i="29" s="1"/>
  <c r="G27" i="29"/>
  <c r="I27" i="29" s="1"/>
  <c r="G26" i="29"/>
  <c r="I26" i="29" s="1"/>
  <c r="G25" i="29"/>
  <c r="I25" i="29" s="1"/>
  <c r="C28" i="29"/>
  <c r="E28" i="29" s="1"/>
  <c r="C27" i="29"/>
  <c r="E27" i="29" s="1"/>
  <c r="C26" i="29"/>
  <c r="E26" i="29" s="1"/>
  <c r="C25" i="29"/>
  <c r="E25" i="29" s="1"/>
  <c r="K25" i="29"/>
  <c r="K26" i="29" s="1"/>
  <c r="K27" i="29" s="1"/>
  <c r="I11" i="29"/>
  <c r="G23" i="29"/>
  <c r="I23" i="29" s="1"/>
  <c r="G22" i="29"/>
  <c r="I22" i="29" s="1"/>
  <c r="G21" i="29"/>
  <c r="I21" i="29" s="1"/>
  <c r="G20" i="29"/>
  <c r="I20" i="29" s="1"/>
  <c r="G19" i="29"/>
  <c r="I19" i="29" s="1"/>
  <c r="G18" i="29"/>
  <c r="I18" i="29" s="1"/>
  <c r="G17" i="29"/>
  <c r="I17" i="29" s="1"/>
  <c r="G16" i="29"/>
  <c r="I16" i="29" s="1"/>
  <c r="G15" i="29"/>
  <c r="I15" i="29" s="1"/>
  <c r="G14" i="29"/>
  <c r="I14" i="29" s="1"/>
  <c r="G13" i="29"/>
  <c r="I13" i="29" s="1"/>
  <c r="G12" i="29"/>
  <c r="I12" i="29" s="1"/>
  <c r="E11" i="29"/>
  <c r="C23" i="29"/>
  <c r="E23" i="29" s="1"/>
  <c r="C22" i="29"/>
  <c r="E22" i="29" s="1"/>
  <c r="C21" i="29"/>
  <c r="E21" i="29" s="1"/>
  <c r="C20" i="29"/>
  <c r="E20" i="29" s="1"/>
  <c r="C19" i="29"/>
  <c r="E19" i="29" s="1"/>
  <c r="C18" i="29"/>
  <c r="E18" i="29" s="1"/>
  <c r="C17" i="29"/>
  <c r="E17" i="29" s="1"/>
  <c r="C16" i="29"/>
  <c r="E16" i="29" s="1"/>
  <c r="C15" i="29"/>
  <c r="E15" i="29" s="1"/>
  <c r="C14" i="29"/>
  <c r="E14" i="29" s="1"/>
  <c r="C13" i="29"/>
  <c r="E13" i="29" s="1"/>
  <c r="C12" i="29"/>
  <c r="E12" i="29" s="1"/>
  <c r="J39" i="11"/>
  <c r="H39" i="11"/>
  <c r="G39" i="11"/>
  <c r="F39" i="11"/>
  <c r="E39" i="11"/>
  <c r="D39" i="11"/>
  <c r="C39" i="11"/>
  <c r="I39" i="11" s="1"/>
  <c r="I37" i="11"/>
  <c r="I36" i="11"/>
  <c r="I35" i="11"/>
  <c r="I34" i="11"/>
  <c r="I33" i="11"/>
  <c r="I32" i="11"/>
  <c r="I31" i="11"/>
  <c r="I30" i="11"/>
  <c r="I29" i="11"/>
  <c r="I28" i="11"/>
  <c r="I27" i="11"/>
  <c r="K34" i="11"/>
  <c r="J19" i="11"/>
  <c r="H19" i="11"/>
  <c r="G19" i="11"/>
  <c r="F19" i="11"/>
  <c r="E19" i="11"/>
  <c r="D19" i="11"/>
  <c r="C19" i="11"/>
  <c r="I19" i="11" s="1"/>
  <c r="C22" i="10"/>
  <c r="C20" i="10"/>
  <c r="K20" i="10"/>
  <c r="J20" i="10"/>
  <c r="I20" i="10"/>
  <c r="H20" i="10"/>
  <c r="F20" i="10"/>
  <c r="E20" i="10"/>
  <c r="D20" i="10"/>
  <c r="G14" i="10"/>
  <c r="G20" i="10" s="1"/>
  <c r="Y58" i="2"/>
  <c r="X58" i="2"/>
  <c r="W58" i="2"/>
  <c r="V58" i="2"/>
  <c r="U58" i="2"/>
  <c r="T58" i="2"/>
  <c r="S58" i="2"/>
  <c r="R58" i="2"/>
  <c r="Q58" i="2"/>
  <c r="P58" i="2"/>
  <c r="O58" i="2"/>
  <c r="N58" i="2"/>
  <c r="Z58" i="2" s="1"/>
  <c r="Y57" i="2"/>
  <c r="X57" i="2"/>
  <c r="W57" i="2"/>
  <c r="V57" i="2"/>
  <c r="U57" i="2"/>
  <c r="T57" i="2"/>
  <c r="S57" i="2"/>
  <c r="R57" i="2"/>
  <c r="Q57" i="2"/>
  <c r="P57" i="2"/>
  <c r="O57" i="2"/>
  <c r="N57" i="2"/>
  <c r="Z57" i="2" s="1"/>
  <c r="Z56" i="2"/>
  <c r="Z54" i="2"/>
  <c r="Z53" i="2"/>
  <c r="Z52" i="2"/>
  <c r="Z51" i="2"/>
  <c r="Z47" i="2"/>
  <c r="Z45" i="2"/>
  <c r="Z42" i="2"/>
  <c r="Z41" i="2"/>
  <c r="Z40" i="2"/>
  <c r="Z39" i="2"/>
  <c r="Y46" i="2"/>
  <c r="X46" i="2"/>
  <c r="W46" i="2"/>
  <c r="V46" i="2"/>
  <c r="U46" i="2"/>
  <c r="T46" i="2"/>
  <c r="S46" i="2"/>
  <c r="Z46" i="2" s="1"/>
  <c r="R46" i="2"/>
  <c r="Q46" i="2"/>
  <c r="P46" i="2"/>
  <c r="O46" i="2"/>
  <c r="N46" i="2"/>
  <c r="K44" i="2"/>
  <c r="Y43" i="2"/>
  <c r="X43" i="2"/>
  <c r="W43" i="2"/>
  <c r="V43" i="2"/>
  <c r="U43" i="2"/>
  <c r="T43" i="2"/>
  <c r="S43" i="2"/>
  <c r="R43" i="2"/>
  <c r="Q43" i="2"/>
  <c r="P43" i="2"/>
  <c r="O43" i="2"/>
  <c r="N43" i="2"/>
  <c r="Z43" i="2" s="1"/>
  <c r="Z35" i="2"/>
  <c r="Z33" i="2"/>
  <c r="Z31" i="2"/>
  <c r="Z30" i="2"/>
  <c r="Z29" i="2"/>
  <c r="Z28" i="2"/>
  <c r="Z27" i="2"/>
  <c r="Z26" i="2"/>
  <c r="Z23" i="2"/>
  <c r="Z22" i="2"/>
  <c r="Z21" i="2"/>
  <c r="Z20" i="2"/>
  <c r="Z19" i="2"/>
  <c r="Z18" i="2"/>
  <c r="Z17" i="2"/>
  <c r="Z16" i="2"/>
  <c r="Z15" i="2"/>
  <c r="Z14" i="2"/>
  <c r="Z13" i="2"/>
  <c r="Y12" i="2"/>
  <c r="X12" i="2"/>
  <c r="W12" i="2"/>
  <c r="V12" i="2"/>
  <c r="U12" i="2"/>
  <c r="T12" i="2"/>
  <c r="S12" i="2"/>
  <c r="R12" i="2"/>
  <c r="Q12" i="2"/>
  <c r="Y11" i="2"/>
  <c r="X11" i="2"/>
  <c r="W11" i="2"/>
  <c r="V11" i="2"/>
  <c r="U11" i="2"/>
  <c r="T11" i="2"/>
  <c r="S11" i="2"/>
  <c r="R11" i="2"/>
  <c r="Q11" i="2"/>
  <c r="Y10" i="2"/>
  <c r="X10" i="2"/>
  <c r="W10" i="2"/>
  <c r="V10" i="2"/>
  <c r="U10" i="2"/>
  <c r="T10" i="2"/>
  <c r="S10" i="2"/>
  <c r="R10" i="2"/>
  <c r="Q10" i="2"/>
  <c r="P10" i="2"/>
  <c r="O10" i="2"/>
  <c r="M40" i="6"/>
  <c r="L40" i="6"/>
  <c r="K40" i="6"/>
  <c r="J40" i="6"/>
  <c r="I40" i="6"/>
  <c r="H40" i="6"/>
  <c r="G40" i="6"/>
  <c r="N40" i="6" s="1"/>
  <c r="F40" i="6"/>
  <c r="E40" i="6"/>
  <c r="D40" i="6"/>
  <c r="C40" i="6"/>
  <c r="B40" i="6"/>
  <c r="N39" i="6"/>
  <c r="N32" i="6"/>
  <c r="M31" i="6"/>
  <c r="L31" i="6"/>
  <c r="K31" i="6"/>
  <c r="J31" i="6"/>
  <c r="I31" i="6"/>
  <c r="H31" i="6"/>
  <c r="G31" i="6"/>
  <c r="F31" i="6"/>
  <c r="E31" i="6"/>
  <c r="D31" i="6"/>
  <c r="C31" i="6"/>
  <c r="B31" i="6"/>
  <c r="M24" i="6"/>
  <c r="L24" i="6"/>
  <c r="K24" i="6"/>
  <c r="J24" i="6"/>
  <c r="I24" i="6"/>
  <c r="H24" i="6"/>
  <c r="G24" i="6"/>
  <c r="F24" i="6"/>
  <c r="E24" i="6"/>
  <c r="D24" i="6"/>
  <c r="P12" i="2" s="1"/>
  <c r="C24" i="6"/>
  <c r="O12" i="2" s="1"/>
  <c r="B24" i="6"/>
  <c r="N12" i="2" s="1"/>
  <c r="N23" i="6"/>
  <c r="N22" i="6"/>
  <c r="M14" i="6"/>
  <c r="L14" i="6"/>
  <c r="K14" i="6"/>
  <c r="J14" i="6"/>
  <c r="I14" i="6"/>
  <c r="H14" i="6"/>
  <c r="G14" i="6"/>
  <c r="F14" i="6"/>
  <c r="E14" i="6"/>
  <c r="D14" i="6"/>
  <c r="P11" i="2" s="1"/>
  <c r="C14" i="6"/>
  <c r="O11" i="2" s="1"/>
  <c r="B14" i="6"/>
  <c r="N11" i="2" s="1"/>
  <c r="N13" i="6"/>
  <c r="N12" i="6"/>
  <c r="M11" i="6"/>
  <c r="M21" i="6" s="1"/>
  <c r="L11" i="6"/>
  <c r="L21" i="6" s="1"/>
  <c r="K11" i="6"/>
  <c r="K21" i="6" s="1"/>
  <c r="J11" i="6"/>
  <c r="J21" i="6" s="1"/>
  <c r="I11" i="6"/>
  <c r="I21" i="6" s="1"/>
  <c r="H11" i="6"/>
  <c r="H21" i="6" s="1"/>
  <c r="G11" i="6"/>
  <c r="G21" i="6" s="1"/>
  <c r="F11" i="6"/>
  <c r="F21" i="6" s="1"/>
  <c r="E11" i="6"/>
  <c r="E21" i="6" s="1"/>
  <c r="D11" i="6"/>
  <c r="D21" i="6" s="1"/>
  <c r="C11" i="6"/>
  <c r="C21" i="6" s="1"/>
  <c r="B11" i="6"/>
  <c r="B21" i="6" s="1"/>
  <c r="M6" i="6"/>
  <c r="L6" i="6"/>
  <c r="K6" i="6"/>
  <c r="J6" i="6"/>
  <c r="I6" i="6"/>
  <c r="H6" i="6"/>
  <c r="G6" i="6"/>
  <c r="F6" i="6"/>
  <c r="E6" i="6"/>
  <c r="D6" i="6"/>
  <c r="C6" i="6"/>
  <c r="M5" i="6"/>
  <c r="L5" i="6"/>
  <c r="K5" i="6"/>
  <c r="J5" i="6"/>
  <c r="I5" i="6"/>
  <c r="H5" i="6"/>
  <c r="G5" i="6"/>
  <c r="F5" i="6"/>
  <c r="E5" i="6"/>
  <c r="D5" i="6"/>
  <c r="B5" i="6"/>
  <c r="M4" i="6"/>
  <c r="L4" i="6"/>
  <c r="K4" i="6"/>
  <c r="J4" i="6"/>
  <c r="I4" i="6"/>
  <c r="H4" i="6"/>
  <c r="G4" i="6"/>
  <c r="F4" i="6"/>
  <c r="E4" i="6"/>
  <c r="D4" i="6"/>
  <c r="B4" i="6"/>
  <c r="A15" i="7"/>
  <c r="A53" i="7"/>
  <c r="M45" i="7"/>
  <c r="L45" i="7"/>
  <c r="K45" i="7"/>
  <c r="J45" i="7"/>
  <c r="I45" i="7"/>
  <c r="H45" i="7"/>
  <c r="G45" i="7"/>
  <c r="F45" i="7"/>
  <c r="E45" i="7"/>
  <c r="D45" i="7"/>
  <c r="C45" i="7"/>
  <c r="B45" i="7"/>
  <c r="B6" i="6" s="1"/>
  <c r="N10" i="2" s="1"/>
  <c r="N44" i="7"/>
  <c r="N5" i="6" s="1"/>
  <c r="N43" i="7"/>
  <c r="N4" i="6" s="1"/>
  <c r="K21" i="10" l="1"/>
  <c r="K23" i="10"/>
  <c r="H54" i="9"/>
  <c r="H56" i="9" s="1"/>
  <c r="H48" i="9"/>
  <c r="M43" i="9"/>
  <c r="P43" i="9"/>
  <c r="T7" i="9"/>
  <c r="T43" i="9" s="1"/>
  <c r="B11" i="8"/>
  <c r="N11" i="8" s="1"/>
  <c r="N9" i="8"/>
  <c r="B23" i="8"/>
  <c r="N55" i="2" s="1"/>
  <c r="N21" i="8"/>
  <c r="N23" i="8" s="1"/>
  <c r="C23" i="8"/>
  <c r="O55" i="2" s="1"/>
  <c r="D23" i="8"/>
  <c r="P55" i="2" s="1"/>
  <c r="E23" i="8"/>
  <c r="Q55" i="2" s="1"/>
  <c r="F23" i="8"/>
  <c r="R55" i="2" s="1"/>
  <c r="G23" i="8"/>
  <c r="S55" i="2" s="1"/>
  <c r="H23" i="8"/>
  <c r="T55" i="2" s="1"/>
  <c r="I23" i="8"/>
  <c r="U55" i="2" s="1"/>
  <c r="J23" i="8"/>
  <c r="V55" i="2" s="1"/>
  <c r="K23" i="8"/>
  <c r="W55" i="2" s="1"/>
  <c r="L23" i="8"/>
  <c r="X55" i="2" s="1"/>
  <c r="M23" i="8"/>
  <c r="Y55" i="2" s="1"/>
  <c r="K12" i="29"/>
  <c r="K13" i="29"/>
  <c r="K14" i="29"/>
  <c r="K15" i="29"/>
  <c r="K16" i="29"/>
  <c r="K17" i="29"/>
  <c r="K18" i="29"/>
  <c r="K19" i="29"/>
  <c r="K20" i="29"/>
  <c r="K21" i="29"/>
  <c r="K22" i="29"/>
  <c r="K23" i="29"/>
  <c r="K11" i="29"/>
  <c r="K28" i="29"/>
  <c r="L28" i="29" s="1"/>
  <c r="K30" i="29"/>
  <c r="K31" i="29" s="1"/>
  <c r="K32" i="29" s="1"/>
  <c r="K33" i="29"/>
  <c r="K19" i="11"/>
  <c r="K39" i="11"/>
  <c r="G23" i="10"/>
  <c r="G21" i="10"/>
  <c r="G24" i="10" s="1"/>
  <c r="D23" i="10"/>
  <c r="D21" i="10"/>
  <c r="D24" i="10" s="1"/>
  <c r="E23" i="10"/>
  <c r="E21" i="10"/>
  <c r="E24" i="10" s="1"/>
  <c r="F23" i="10"/>
  <c r="F21" i="10"/>
  <c r="F24" i="10" s="1"/>
  <c r="H23" i="10"/>
  <c r="H21" i="10"/>
  <c r="H24" i="10" s="1"/>
  <c r="I23" i="10"/>
  <c r="I21" i="10"/>
  <c r="I24" i="10" s="1"/>
  <c r="J23" i="10"/>
  <c r="C23" i="10"/>
  <c r="C21" i="10"/>
  <c r="C24" i="10" s="1"/>
  <c r="N14" i="6"/>
  <c r="Z11" i="2" s="1"/>
  <c r="N24" i="6"/>
  <c r="Z12" i="2" s="1"/>
  <c r="N45" i="7"/>
  <c r="N6" i="6" s="1"/>
  <c r="Z10" i="2" s="1"/>
  <c r="Z55" i="2" l="1"/>
  <c r="L33" i="29"/>
  <c r="Z44" i="2"/>
  <c r="Y44" i="2"/>
  <c r="X44" i="2"/>
  <c r="W44" i="2"/>
  <c r="V44" i="2"/>
  <c r="U44" i="2"/>
  <c r="T44" i="2"/>
  <c r="S44" i="2"/>
  <c r="R44" i="2"/>
  <c r="Q44" i="2"/>
  <c r="P44" i="2"/>
  <c r="O44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Eluau</author>
    <author>Administrateur</author>
  </authors>
  <commentList>
    <comment ref="B11" authorId="0" shapeId="0" xr:uid="{454BC6AC-6524-4B58-8F7B-DC59AA90206B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Changer sur l'onglet ETUDE la période</t>
        </r>
      </text>
    </comment>
    <comment ref="A15" authorId="1" shapeId="0" xr:uid="{8C6DE14A-C51F-4FCD-BE1D-8619DB30A858}">
      <text>
        <r>
          <rPr>
            <b/>
            <sz val="9"/>
            <color indexed="81"/>
            <rFont val="Tahoma"/>
            <family val="2"/>
          </rPr>
          <t>Assistant Cube</t>
        </r>
      </text>
    </comment>
    <comment ref="A53" authorId="1" shapeId="0" xr:uid="{02CF71EE-6FD4-4A82-B753-D5E8300D21E2}">
      <text>
        <r>
          <rPr>
            <b/>
            <sz val="9"/>
            <color indexed="81"/>
            <rFont val="Tahoma"/>
            <family val="2"/>
          </rPr>
          <t>Assistant Cube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Eluau</author>
    <author>tc={8ADEE1F3-640E-4393-8286-50C3A7FF5382}</author>
    <author>tc={A125F35E-ADDD-449C-AB27-49A972F7EB88}</author>
    <author>tc={4C460987-FE3D-4901-BB5F-DB51D3A70A20}</author>
  </authors>
  <commentList>
    <comment ref="AB7" authorId="0" shapeId="0" xr:uid="{47171DB2-797F-41C9-B648-17FD7B062DA8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1 = oui
0 = non</t>
        </r>
      </text>
    </comment>
    <comment ref="O21" authorId="0" shapeId="0" xr:uid="{112C2F71-4F1A-4E8C-BCEB-36F4CBF0AA4D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imapcts péniches St Gobain</t>
        </r>
      </text>
    </comment>
    <comment ref="N22" authorId="0" shapeId="0" xr:uid="{12136AE0-A379-4F87-AF26-CC5DEA3855BE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battitures ERBLG
</t>
        </r>
      </text>
    </comment>
    <comment ref="N23" authorId="0" shapeId="0" xr:uid="{7E3A53FF-2030-4595-96EB-484BCF12D96D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2 Niederbronn suite RJ
1 am dk vers argenton (transfert ensuite vers Loon Plage)
1 meule inoxyda (spot)
1 oxydes de fer vers MF (pose trop de problémes dans la gestion des eaux)</t>
        </r>
      </text>
    </comment>
    <comment ref="P23" authorId="0" shapeId="0" xr:uid="{6DFE95D7-F3CA-48ED-AC76-91C350AE5125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concentrats d'osmose SFG</t>
        </r>
      </text>
    </comment>
    <comment ref="N31" authorId="1" shapeId="0" xr:uid="{8ADEE1F3-640E-4393-8286-50C3A7FF5382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encore mis en place</t>
      </text>
    </comment>
    <comment ref="O31" authorId="2" shapeId="0" xr:uid="{A125F35E-ADDD-449C-AB27-49A972F7EB88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encore mis en place</t>
      </text>
    </comment>
    <comment ref="P31" authorId="3" shapeId="0" xr:uid="{4C460987-FE3D-4901-BB5F-DB51D3A70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encore mis en place</t>
      </text>
    </comment>
    <comment ref="J41" authorId="0" shapeId="0" xr:uid="{C06A35D6-7493-4962-9C8F-26EBCC62728C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hors comilog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Eluau</author>
  </authors>
  <commentList>
    <comment ref="I10" authorId="0" shapeId="0" xr:uid="{5E15811D-0A9A-41F6-9018-3202B47EDA93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PAS DE CHAUFFAGE PDT 1 SEMAINE - CHAUFFAGES D'APPOINT</t>
        </r>
      </text>
    </comment>
    <comment ref="H12" authorId="0" shapeId="0" xr:uid="{86A2DCBE-2DCD-4CAB-9445-F4230D67C135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Remplacement des luminaires + installation des détecteurs le 22/02/23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Eluau</author>
  </authors>
  <commentList>
    <comment ref="G7" authorId="0" shapeId="0" xr:uid="{B2C9B201-6400-4270-AE59-7DA3D59EB42B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Inscrivez C : pour les salariés à temps complet ; I : pour intermittent ; P : pour partiel ; D : pour les travailleurs à domicile ; Z : si la ligne « salarié » ne se rapporte qu'à des rappels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Axelle Eluau</author>
  </authors>
  <commentList>
    <comment ref="C6" authorId="0" shapeId="0" xr:uid="{032687AA-7954-42A7-86F3-EE2054BA4A01}">
      <text>
        <r>
          <rPr>
            <b/>
            <sz val="9"/>
            <color indexed="81"/>
            <rFont val="Tahoma"/>
            <family val="2"/>
          </rPr>
          <t>Axelle Eluau:</t>
        </r>
        <r>
          <rPr>
            <sz val="9"/>
            <color indexed="81"/>
            <rFont val="Tahoma"/>
            <family val="2"/>
          </rPr>
          <t xml:space="preserve">
Niveau 1 : Obligatoire
Niveau 2 : Développement compétences
Niveau 3 : Facultatif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<sst xmlns="http://schemas.openxmlformats.org/spreadsheetml/2006/main" count="1355" uniqueCount="495">
  <si>
    <t>Contrôle chiffre d'affaires</t>
  </si>
  <si>
    <t>PRENDRE CHIFFRES DEPUIS LE DEBUT DE L'ANNEE : HA + OD</t>
  </si>
  <si>
    <t>Sélection</t>
  </si>
  <si>
    <t>Dossier</t>
  </si>
  <si>
    <t>*</t>
  </si>
  <si>
    <t>Société</t>
  </si>
  <si>
    <t>SARL SEVT</t>
  </si>
  <si>
    <t>Compte</t>
  </si>
  <si>
    <t>Exercice</t>
  </si>
  <si>
    <t>Du 01/10/25 au 30/09/26</t>
  </si>
  <si>
    <t>Mois</t>
  </si>
  <si>
    <t xml:space="preserve">Journal </t>
  </si>
  <si>
    <t>VT</t>
  </si>
  <si>
    <t>JOURNAL VENTES</t>
  </si>
  <si>
    <t>Compte Général - Code</t>
  </si>
  <si>
    <t>Total</t>
  </si>
  <si>
    <t>CA - saisir en dur</t>
  </si>
  <si>
    <t>Avoirs</t>
  </si>
  <si>
    <t>%</t>
  </si>
  <si>
    <t>JOURNAL VENTES - AVOIRS</t>
  </si>
  <si>
    <t>Tiers - Nom</t>
  </si>
  <si>
    <t>ABO TRADING</t>
  </si>
  <si>
    <t>Total 411000</t>
  </si>
  <si>
    <t>SUIVI CA</t>
  </si>
  <si>
    <t>TOTAL</t>
  </si>
  <si>
    <t>CA Total (€)</t>
  </si>
  <si>
    <t>Avoirs / complément fac Total (€)</t>
  </si>
  <si>
    <t xml:space="preserve">Taux avoir </t>
  </si>
  <si>
    <t>SUIVI DOSSIERS ACTIFS ET AUDITS REALISES</t>
  </si>
  <si>
    <t>Dernieres valeurs</t>
  </si>
  <si>
    <t>Nb dossiers</t>
  </si>
  <si>
    <t>Nb dossiers conformes</t>
  </si>
  <si>
    <t>Saisir manuellement</t>
  </si>
  <si>
    <t>Taux de dossier à jour</t>
  </si>
  <si>
    <t xml:space="preserve">Source : </t>
  </si>
  <si>
    <t>Y:\PM1 - Manager le systéme qualité\5 - Enregistrements\Registre de numérotation dossiers et documents\Exercice_Registre numérotation DOSSIERS COURRIERS.xls</t>
  </si>
  <si>
    <t>SUIVI DU CONTRÔLE DES DOCUMENTS FIGURANT DANS LE DOSSIER QUALITE</t>
  </si>
  <si>
    <t>Nb documents actifs</t>
  </si>
  <si>
    <t>Nb documents actifs vérifiés et conformes</t>
  </si>
  <si>
    <t>"Y:\PM1 - Manager le systéme qualité\5 - Enregistrements\Registre de numérotation dossiers et documents\Exercice_ Registre de suivi de numérotation des documents SMQ.xls"</t>
  </si>
  <si>
    <t>SUIVI DES FACTURES RECUES PAR COURRER</t>
  </si>
  <si>
    <t>XXX</t>
  </si>
  <si>
    <t>PDCA - 2025-2026</t>
  </si>
  <si>
    <t>Réf doc</t>
  </si>
  <si>
    <t>PM1 F 010</t>
  </si>
  <si>
    <t>Rév</t>
  </si>
  <si>
    <t>MAJ le</t>
  </si>
  <si>
    <t>Lien dans fichier</t>
  </si>
  <si>
    <t>(*) ABO France a choisi de ne pas mettre d'actions en place</t>
  </si>
  <si>
    <t>Enjeux Politique Qualité</t>
  </si>
  <si>
    <t>PLAN 
(Objectifs)</t>
  </si>
  <si>
    <t>N° Risque/Opportunité</t>
  </si>
  <si>
    <t>Processus</t>
  </si>
  <si>
    <t>DO
(Actions)</t>
  </si>
  <si>
    <t>Check
(Indicateur)</t>
  </si>
  <si>
    <t>Act</t>
  </si>
  <si>
    <t>Exercice 24-25</t>
  </si>
  <si>
    <t>N°</t>
  </si>
  <si>
    <t>Libellé</t>
  </si>
  <si>
    <t>Objectifs</t>
  </si>
  <si>
    <t>Actions</t>
  </si>
  <si>
    <t>N° Action</t>
  </si>
  <si>
    <t>Qui</t>
  </si>
  <si>
    <t>Délai</t>
  </si>
  <si>
    <t>Indicateurs</t>
  </si>
  <si>
    <t>Cible</t>
  </si>
  <si>
    <t>Fréquence</t>
  </si>
  <si>
    <t>Source indicateur</t>
  </si>
  <si>
    <t>Indicateurs à date</t>
  </si>
  <si>
    <t>Verrouillage
RDD</t>
  </si>
  <si>
    <t>Indictaurs atteint</t>
  </si>
  <si>
    <t>Sens feu</t>
  </si>
  <si>
    <t>Tendance</t>
  </si>
  <si>
    <t>ECONOMIE / PILOTAGE</t>
  </si>
  <si>
    <t>Assurer la pérennité de l'entreprise</t>
  </si>
  <si>
    <t>O1 -Améliorer l'organisation interne</t>
  </si>
  <si>
    <t>PR3</t>
  </si>
  <si>
    <t>Eviter les erreurs de facturation</t>
  </si>
  <si>
    <t>RD</t>
  </si>
  <si>
    <t>Permanent</t>
  </si>
  <si>
    <t>Part montant avoirs/complément vs chiffre d'affaires externe</t>
  </si>
  <si>
    <t>Mensuelle</t>
  </si>
  <si>
    <t>Onglet suivi autre</t>
  </si>
  <si>
    <t>+</t>
  </si>
  <si>
    <t>PR1</t>
  </si>
  <si>
    <t>Avoir des dossiers clients numérisés complets</t>
  </si>
  <si>
    <t>AE</t>
  </si>
  <si>
    <t>Dossiers clients actifs complets</t>
  </si>
  <si>
    <t>-</t>
  </si>
  <si>
    <t>PM1</t>
  </si>
  <si>
    <t>Disposer d'une documentation à jour</t>
  </si>
  <si>
    <t>Taux de conformité de la documentation mise à disposition dans le lecteur qualité</t>
  </si>
  <si>
    <t>Annuelle</t>
  </si>
  <si>
    <t>Effectuer les tâches en temps et en heure</t>
  </si>
  <si>
    <t>Suivi des actions en retard dans le pilotage de l'activité</t>
  </si>
  <si>
    <t>"Y:\PM1 - Manager le systéme qualité\5 - Enregistrements\Pilotage de l'activité\2023-2024_Pilotage de l'activité.xls" //Taux de retard - Fichier pilotage de l'activité</t>
  </si>
  <si>
    <t>O2- Garantir la conformité légale et réglementaire</t>
  </si>
  <si>
    <t>PR2</t>
  </si>
  <si>
    <t>Assurer la tracabilité du déchet</t>
  </si>
  <si>
    <t>MR</t>
  </si>
  <si>
    <t>Nombre de BSD non reçus</t>
  </si>
  <si>
    <t>Access indicateur BSD</t>
  </si>
  <si>
    <t>Nombre de BSD non traités en retard non justifiés - Nombre de BSD non reçus</t>
  </si>
  <si>
    <t>6, 7</t>
  </si>
  <si>
    <t>PS2</t>
  </si>
  <si>
    <t>Mesurer la conformité de notre infrastructure</t>
  </si>
  <si>
    <t>Taux de conformité de nos ressources</t>
  </si>
  <si>
    <t>"Y:\PS2 - Gérer les Autres Ressources\5 - Enregistrements\Inventaire ressources autres\2024_07_25 Liste ressources autres.xlsx" Conformité des ressources disponibles</t>
  </si>
  <si>
    <t>Préparer la facturation electronique</t>
  </si>
  <si>
    <t>Part des fiches fournisseurs complétes dans SAGE</t>
  </si>
  <si>
    <t>Déclaratif</t>
  </si>
  <si>
    <t>Part des fiches clients completés dans SAGE</t>
  </si>
  <si>
    <t>1, 12</t>
  </si>
  <si>
    <t>Analyser les évolutions légales et réglementaires</t>
  </si>
  <si>
    <t>Taux de conformité réglementaire</t>
  </si>
  <si>
    <t>"Y:\PM1 - Manager le systéme qualité\5 - Enregistrements\Réglementation\Examen conformité\2024_Liste exigences applicables et examen de la conformité.xls" - Fichier évaluation conformité</t>
  </si>
  <si>
    <t>O3 - Maintenir l'activité actuelle et conquérir de nouvelles parts de marché</t>
  </si>
  <si>
    <t>Gagner de nouveaux segments de marché</t>
  </si>
  <si>
    <t>Taux de transformation des devis</t>
  </si>
  <si>
    <t>"Y:\PM1 - Manager le systéme qualité\5 - Enregistrements\Registre de numérotation dossiers et documents\2024_Registre numérotation DOSSIERS COURRIERS.xls" //Taux de transformation des devis</t>
  </si>
  <si>
    <t>Atteindre la performance économique attendue</t>
  </si>
  <si>
    <t>Suivi réalisé vs budget EBITDA</t>
  </si>
  <si>
    <t>Situations mensuelles</t>
  </si>
  <si>
    <t>Contractualiser au maximum afin de minimiser le risque</t>
  </si>
  <si>
    <t>Suivi du taux de contractualisation</t>
  </si>
  <si>
    <t>Tableaux de facturation (cumul)</t>
  </si>
  <si>
    <t>3, 4</t>
  </si>
  <si>
    <t>Diversifier le portefeuille client</t>
  </si>
  <si>
    <t>Nouvelles affaires (dossier validé)</t>
  </si>
  <si>
    <t>"Y:\PM1 - Manager le systéme qualité\5 - Enregistrements\Registre de numérotation dossiers et documents\2024_Registre numérotation DOSSIERS COURRIERS.xls" - Onglet manquant</t>
  </si>
  <si>
    <t>Maintenir l'activité existante</t>
  </si>
  <si>
    <t>Affaires perdues</t>
  </si>
  <si>
    <t>Satisfaire nos parties prenantes et parties intéréssées</t>
  </si>
  <si>
    <t>O4 - Répondre aux exigences</t>
  </si>
  <si>
    <t>Mesurer la perception de la satisfaction client</t>
  </si>
  <si>
    <t>Nombre d'enquêtes</t>
  </si>
  <si>
    <t>Semestrielle</t>
  </si>
  <si>
    <t xml:space="preserve">Fichier d'étude de la perception </t>
  </si>
  <si>
    <t>Satisfaire nos clients</t>
  </si>
  <si>
    <t>O4 - Répondre aux exigences clients</t>
  </si>
  <si>
    <t>Se conformer aux exigences de nos partenaires</t>
  </si>
  <si>
    <t>Cf REC</t>
  </si>
  <si>
    <t>Nombre de réclamations</t>
  </si>
  <si>
    <t>Suivi REC- pilotage activité</t>
  </si>
  <si>
    <t>Examiner les non-conformités et mettre en place les actions nécessaires</t>
  </si>
  <si>
    <t>Cf NC</t>
  </si>
  <si>
    <t>Nombre de non-conformités</t>
  </si>
  <si>
    <t>Suivi NC - pilotage activité</t>
  </si>
  <si>
    <t>O5 - Maitriser la qualité du service délivré</t>
  </si>
  <si>
    <t>1, 2</t>
  </si>
  <si>
    <t>Garantir la qualité de la prestation promise</t>
  </si>
  <si>
    <t>Taux de service</t>
  </si>
  <si>
    <t>Fichier de suivi dans processus PR2</t>
  </si>
  <si>
    <t>"Programmation non prise en compte" 313</t>
  </si>
  <si>
    <t>1, 2, 11</t>
  </si>
  <si>
    <r>
      <rPr>
        <strike/>
        <sz val="11"/>
        <rFont val="Calibri"/>
        <family val="2"/>
        <scheme val="minor"/>
      </rPr>
      <t>Nombre de transporteurs présentant taux anomalie &gt;5% 2 mois d'affilée</t>
    </r>
    <r>
      <rPr>
        <sz val="11"/>
        <rFont val="Calibri"/>
        <family val="2"/>
        <scheme val="minor"/>
      </rPr>
      <t xml:space="preserve"> - Modif Indicateur à pondérer</t>
    </r>
  </si>
  <si>
    <t>Nombre de transporteurs présentant taux anomalie &gt;5% 2 mois d'affilée - Modif Indicateur à pondérer</t>
  </si>
  <si>
    <t>Part des flux sous Dashdoc</t>
  </si>
  <si>
    <t>Avoir 2 transporteurs / flux (sauf cas justifiés)</t>
  </si>
  <si>
    <t>Part des points de chargements disposant de 2 transporteurs</t>
  </si>
  <si>
    <t>Données à date consignes affretement</t>
  </si>
  <si>
    <t>PS3</t>
  </si>
  <si>
    <t>Evaluer les prestataires</t>
  </si>
  <si>
    <t>Part des prestataires évalués ayant signé la charte éco responsable</t>
  </si>
  <si>
    <t>"Y:\PS3 - Gérer les achats de biens et services\6 - Enregistrements\Engagement fournisseurs - charte eco responsable signée\2025_09 Liste fournisseurs et prestataires évalués en 092025.xlsx"</t>
  </si>
  <si>
    <t>Part des prestataires évalués ayant signé la charte</t>
  </si>
  <si>
    <t>Nombre de prestataires insatisfaisant</t>
  </si>
  <si>
    <t>Enquête satisfaction prestataire</t>
  </si>
  <si>
    <t>ENVIRONNEMENT</t>
  </si>
  <si>
    <t>Intégrer les enjeux environnementaux et climatiques comme facteur stratégique de compétitivité et d’innovation</t>
  </si>
  <si>
    <t>O6 - Offrir une gamme de service plus étoffée</t>
  </si>
  <si>
    <t>Réduire la mise en décharge</t>
  </si>
  <si>
    <t>Taux de valorisation</t>
  </si>
  <si>
    <t>TDF (cumul)</t>
  </si>
  <si>
    <t>O6 - Offrir une gamme de service plus étoffée à nos clients</t>
  </si>
  <si>
    <t>Taux de valorisation (yc remblais)</t>
  </si>
  <si>
    <t>Mesurer l'impact CO2 lié à notre activité</t>
  </si>
  <si>
    <t>Kgs CO2 / Tonne traitée</t>
  </si>
  <si>
    <t>BC</t>
  </si>
  <si>
    <t>A date AU CUMUL</t>
  </si>
  <si>
    <t>Emissions Tonnes CO2</t>
  </si>
  <si>
    <t xml:space="preserve">Recycler les déchets générés par les bureaux </t>
  </si>
  <si>
    <t>Qté de déchets traités par ELISE</t>
  </si>
  <si>
    <t>Facture Elise</t>
  </si>
  <si>
    <t>Recycler les déchets générés par les bureaux d'ABO France</t>
  </si>
  <si>
    <t>Volume de déchets traités par ELISE</t>
  </si>
  <si>
    <t>Max</t>
  </si>
  <si>
    <t>Réduire les impressions papier</t>
  </si>
  <si>
    <t>Nombre de documents imprimés</t>
  </si>
  <si>
    <t>Trimestrielle</t>
  </si>
  <si>
    <t>Fcature desk</t>
  </si>
  <si>
    <t>Obtenir une meilleure note Ecovadis</t>
  </si>
  <si>
    <t>Note obtenue (percentile)</t>
  </si>
  <si>
    <t>Note Ecovadis</t>
  </si>
  <si>
    <t>Note obtenue</t>
  </si>
  <si>
    <t>Supprimer le maximum de factures arrivant par courrier</t>
  </si>
  <si>
    <t>RP</t>
  </si>
  <si>
    <t>Nombre de factures reçues au courrier</t>
  </si>
  <si>
    <t xml:space="preserve">Surveiller les cosommations d'electricité </t>
  </si>
  <si>
    <t>Suivi conso moyenne EDF EN KW/H par personne</t>
  </si>
  <si>
    <t>Facture EDF</t>
  </si>
  <si>
    <t>Surveiller les cosommations d'electricité d'ABO France</t>
  </si>
  <si>
    <t>SOCIAL</t>
  </si>
  <si>
    <t>Fidéliser le personnel et favoriser l'implication du personnel sur les enjeux de durabilité et de transition écologique, en lien avec leur activité</t>
  </si>
  <si>
    <t>O7 - Accompagner les salariés dans le développement de nouvelles compétences</t>
  </si>
  <si>
    <t>5, 10</t>
  </si>
  <si>
    <t>PS1</t>
  </si>
  <si>
    <t>Réaliser un entretien individuel</t>
  </si>
  <si>
    <t>Nombre d'entretiens annuels (2 / an / salarié)</t>
  </si>
  <si>
    <t>CR entretiens</t>
  </si>
  <si>
    <t>Fidéliser le personnel</t>
  </si>
  <si>
    <t>Réaliser un entretien professionnel</t>
  </si>
  <si>
    <t>Nombre d'entretiens annuels (1 / 2 ans / salarié)</t>
  </si>
  <si>
    <t>Développer les connaissances RSE</t>
  </si>
  <si>
    <t>Nombre de réunions de sensibilsation RSE / an</t>
  </si>
  <si>
    <t>Réaliser les formations prévues</t>
  </si>
  <si>
    <t>Taux de réalisation des formations obligatoires</t>
  </si>
  <si>
    <t>Suivi du plan de formation</t>
  </si>
  <si>
    <t>O8 - Garantir le bien être des salariés</t>
  </si>
  <si>
    <t>Suivre les absences et les qualifier</t>
  </si>
  <si>
    <t>Taux d'absentéisme</t>
  </si>
  <si>
    <t>Onglet absentéisme</t>
  </si>
  <si>
    <t>Santé et sécurité - Prévenir les risques sur le lieu de travail</t>
  </si>
  <si>
    <t xml:space="preserve">DUERP mis à jour 1 fois / an </t>
  </si>
  <si>
    <t>Taux de gravité</t>
  </si>
  <si>
    <t>Taux de fréquence</t>
  </si>
  <si>
    <t>Satisfaire les parties prenantes</t>
  </si>
  <si>
    <t>Nombre de litiges / an</t>
  </si>
  <si>
    <t>Commentaires -  OCTOBRE 2025</t>
  </si>
  <si>
    <t xml:space="preserve">Michel </t>
  </si>
  <si>
    <t>51  BSD : principalement annexes 7 pour les 8/80 et Baudelet reçu le 19/11</t>
  </si>
  <si>
    <t>"Programmation non prise en compte" 313 : 3 France Benne (1 Foug ; 1 Arcelor ; 1 EJ Picardie : sables =&gt; cotation SDJ)</t>
  </si>
  <si>
    <t>Nombre de transporteurs présentant taux anomalie &gt;5% 2 mois d'affilée - Modif Indicateur à pondérer : pas encore mis en place</t>
  </si>
  <si>
    <t xml:space="preserve">Part des flux sous Dashdoc : FOUG pour sables souillés et non souillés vers Solvalor </t>
  </si>
  <si>
    <t>Part des points de chargements disposant de 2 transporteurs : RAS : EJ Picardie Sables cotation SDJ / Oxytech Battitures ERBLG cotation SDJ (diversification de la ligne)</t>
  </si>
  <si>
    <t>Taux de conformité de nos ressources : RAS</t>
  </si>
  <si>
    <t>Renée</t>
  </si>
  <si>
    <t xml:space="preserve">PR3 </t>
  </si>
  <si>
    <t>2 avoirs :</t>
  </si>
  <si>
    <t>A220120200 pour 3733,25  suite reclassement de blocs de fonte en 80/250</t>
  </si>
  <si>
    <t>A220120201 pour 63368,01 suite TVA BE et non FR</t>
  </si>
  <si>
    <t>Charte Eco - Frais Généraux (Renée) - Il manque le CA Immobilier - en cours de réclamation</t>
  </si>
  <si>
    <t>Les 51 euro d'électricité proviennent de la moyenne pour la période du 11/2024 au 10/2025</t>
  </si>
  <si>
    <t>Axelle</t>
  </si>
  <si>
    <t>Commentaires -  1er trimestre exercice</t>
  </si>
  <si>
    <t>Commentaires -  xxxx</t>
  </si>
  <si>
    <t>SUIVI DES CONSOMMATIONS D'ELECTRICITE</t>
  </si>
  <si>
    <t>SUIVI CONSOMMATION EDF EN KWH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</si>
  <si>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</si>
  <si>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</si>
  <si>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</si>
  <si>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</si>
  <si>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</si>
  <si>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</si>
  <si>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</si>
  <si>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</si>
  <si>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</si>
  <si>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</si>
  <si>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</si>
  <si>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</si>
  <si>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</si>
  <si>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</si>
  <si>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</si>
  <si>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</si>
  <si>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</si>
  <si>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</si>
  <si>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</si>
  <si>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</si>
  <si>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</si>
  <si>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Total Kw/h</t>
  </si>
  <si>
    <t>moyenne mensuelle</t>
  </si>
  <si>
    <t>Jours ouvrés</t>
  </si>
  <si>
    <t>moyenne JO</t>
  </si>
  <si>
    <t>Par personne</t>
  </si>
  <si>
    <t>32 Boulevard Ferdinand de Lesseps</t>
  </si>
  <si>
    <t>SUIVI DES DECHETS ABO France ENLEVES ET TRAITES PAR ELISE</t>
  </si>
  <si>
    <t>Coût des équipements de base : 257,50 € (26/02/2025)</t>
  </si>
  <si>
    <t>Exercice 25-26</t>
  </si>
  <si>
    <t>Papier / Carton</t>
  </si>
  <si>
    <t>D3E</t>
  </si>
  <si>
    <t>Cartouches</t>
  </si>
  <si>
    <t>Capsules</t>
  </si>
  <si>
    <t>Canettes</t>
  </si>
  <si>
    <t>Plastique</t>
  </si>
  <si>
    <t>Total kgs</t>
  </si>
  <si>
    <t>Coût HT</t>
  </si>
  <si>
    <t>Coût / kg</t>
  </si>
  <si>
    <t>octobre (06/10/2025)</t>
  </si>
  <si>
    <t xml:space="preserve">mai </t>
  </si>
  <si>
    <t>Total KGS</t>
  </si>
  <si>
    <t>mai (20/05/2025)</t>
  </si>
  <si>
    <t>SUIVI DES CONSOMMATIONS D'IMPRESSION PAPIER</t>
  </si>
  <si>
    <t xml:space="preserve">Consommations copies couleur </t>
  </si>
  <si>
    <t>Consommations copies NB</t>
  </si>
  <si>
    <t>Conso</t>
  </si>
  <si>
    <t>Compteur départ</t>
  </si>
  <si>
    <t>Compteur arrivée</t>
  </si>
  <si>
    <t>Consommation totale</t>
  </si>
  <si>
    <t>Total cumul</t>
  </si>
  <si>
    <t>23/09 - 20/12/2021</t>
  </si>
  <si>
    <t>20/12/21 - 28/03/2022</t>
  </si>
  <si>
    <t>28/03 - 01/06/2022</t>
  </si>
  <si>
    <t>01/06 - 12/09/2022</t>
  </si>
  <si>
    <t>31/12/22 - 30/03/2023</t>
  </si>
  <si>
    <t>31/03 - 29/06/2023</t>
  </si>
  <si>
    <t>30/06 - 29/09/2023</t>
  </si>
  <si>
    <t xml:space="preserve">Exercice </t>
  </si>
  <si>
    <t>30/09/2023 - 03/01/2024</t>
  </si>
  <si>
    <t>04/01/2024 - 08/04/2024</t>
  </si>
  <si>
    <t>09/04/2024 - 01/07/2024</t>
  </si>
  <si>
    <t>02/07/2024 - 19/09/2024</t>
  </si>
  <si>
    <t>20/09/2024 - 24/12/2024</t>
  </si>
  <si>
    <t>25/12/2024 - 24/03/2025</t>
  </si>
  <si>
    <t>25/03/2025 - 29/06/2025</t>
  </si>
  <si>
    <t>30/06/2025 - 29/09/2025</t>
  </si>
  <si>
    <t>01/10/2025 - 31/12/2025</t>
  </si>
  <si>
    <t>Objectif : réduction de 5% en 25-26 vs 24-25</t>
  </si>
  <si>
    <t>ANALYSE ENVIRONNEMENTALE</t>
  </si>
  <si>
    <t>Date de mise à jour : 12/02/2025</t>
  </si>
  <si>
    <t>Cotation du Risque Initial (RI)</t>
  </si>
  <si>
    <t>Aspect</t>
  </si>
  <si>
    <t xml:space="preserve">Sous aspect environnementaux </t>
  </si>
  <si>
    <t>Cause de l'impact</t>
  </si>
  <si>
    <t>Impact environnemental</t>
  </si>
  <si>
    <t>Mode</t>
  </si>
  <si>
    <t>Probabilité</t>
  </si>
  <si>
    <t>Gravité</t>
  </si>
  <si>
    <t>Total RI</t>
  </si>
  <si>
    <t>Actions pour réduire l'impact</t>
  </si>
  <si>
    <t>Maîtrise</t>
  </si>
  <si>
    <t>ICPE</t>
  </si>
  <si>
    <t>Risque résiduel</t>
  </si>
  <si>
    <t>🙂</t>
  </si>
  <si>
    <t>Air</t>
  </si>
  <si>
    <t>Odeurs</t>
  </si>
  <si>
    <t>Odeurs liées à certains produits chimiques si utilisés dans un local fermé (erreur humaine ou locaux du client inadaptés)</t>
  </si>
  <si>
    <t>Pollution olfactive
Risque pour la santé humaine</t>
  </si>
  <si>
    <t>A</t>
  </si>
  <si>
    <t>Formation du personnel 
EPI à disposition
Plans de Prévention (coactivité)</t>
  </si>
  <si>
    <t>😀</t>
  </si>
  <si>
    <t>Energie</t>
  </si>
  <si>
    <t xml:space="preserve">Emmision de CO2 </t>
  </si>
  <si>
    <t xml:space="preserve">polution de l'air 
Diminution des ressources naturelles </t>
  </si>
  <si>
    <t xml:space="preserve">Utilisation des Transports en Communs pour x % des salariés
Réalisation de Bilan Carbone
Achats de véhicules Hybrides / electrique 
Maintenance flotte automobile
</t>
  </si>
  <si>
    <t>Déplacements des salariés (véhicules motorisés)</t>
  </si>
  <si>
    <t>Pollution de l'air
Réchauffement climatique</t>
  </si>
  <si>
    <t>N</t>
  </si>
  <si>
    <t>Utilisation des Transports en Communs pour x % des salariés
Achats de véhicules Hybrides
Formation Eco Conduite
Organisation des déplacements</t>
  </si>
  <si>
    <t>Déchets</t>
  </si>
  <si>
    <t xml:space="preserve">La production de déchets liés aux prestations (utilisation de consommables) collecte papier / cartons / DEEE / cartouche imprimantes </t>
  </si>
  <si>
    <t>Augmentation du volume des déchets (DIB)</t>
  </si>
  <si>
    <t>Tri des Déchets
Formation du personnel aux éco-gestes
Etude des besoins et limitation des consommables à usages unique
Choix de matériel à longue durée de vie lorsque c'est possible</t>
  </si>
  <si>
    <t>Le traitement des déchets liés aux prestations. La fin de vie des matériels traitée en enfouissement.</t>
  </si>
  <si>
    <t>Grille de Cotation</t>
  </si>
  <si>
    <t>SUIVI DU PERSONNEL</t>
  </si>
  <si>
    <t>GENERAL</t>
  </si>
  <si>
    <t>Numéro</t>
  </si>
  <si>
    <t>Nom</t>
  </si>
  <si>
    <t>Nom marital</t>
  </si>
  <si>
    <t>Prénom</t>
  </si>
  <si>
    <t>Service</t>
  </si>
  <si>
    <t>Sexe</t>
  </si>
  <si>
    <t>Code CIPDZ</t>
  </si>
  <si>
    <t>CDD</t>
  </si>
  <si>
    <t>Handicapé</t>
  </si>
  <si>
    <t>Date d'entrée</t>
  </si>
  <si>
    <t>Date de sortie</t>
  </si>
  <si>
    <t>% activité</t>
  </si>
  <si>
    <t>Date entretien individuel</t>
  </si>
  <si>
    <t>Date entretien individuel milieu exercice</t>
  </si>
  <si>
    <t>Date entretien professionnel</t>
  </si>
  <si>
    <t>16</t>
  </si>
  <si>
    <t>ELUAU</t>
  </si>
  <si>
    <t/>
  </si>
  <si>
    <t>Direction</t>
  </si>
  <si>
    <t>Femme</t>
  </si>
  <si>
    <t>C</t>
  </si>
  <si>
    <t>Non</t>
  </si>
  <si>
    <t>04/11/2019</t>
  </si>
  <si>
    <t>NA</t>
  </si>
  <si>
    <t>17</t>
  </si>
  <si>
    <t>DOS SANTOS ROSA</t>
  </si>
  <si>
    <t>Théo</t>
  </si>
  <si>
    <t>Affrétement</t>
  </si>
  <si>
    <t>Homme</t>
  </si>
  <si>
    <t>P</t>
  </si>
  <si>
    <t>Oui</t>
  </si>
  <si>
    <t>04/07/2022</t>
  </si>
  <si>
    <t>05/07/2024</t>
  </si>
  <si>
    <t>18</t>
  </si>
  <si>
    <t>DUCHENE</t>
  </si>
  <si>
    <t>Comptabilité</t>
  </si>
  <si>
    <t>02/10/2023</t>
  </si>
  <si>
    <t>19</t>
  </si>
  <si>
    <t>MONGET</t>
  </si>
  <si>
    <t>Caroline</t>
  </si>
  <si>
    <t>08/01/2024</t>
  </si>
  <si>
    <t>20</t>
  </si>
  <si>
    <t>RACHEDI</t>
  </si>
  <si>
    <t>Michel</t>
  </si>
  <si>
    <t>17/06/2024</t>
  </si>
  <si>
    <t>Suivi du taux d'absentéisme - Exercice 25/06</t>
  </si>
  <si>
    <t>Jours fériés</t>
  </si>
  <si>
    <t>Date</t>
  </si>
  <si>
    <t>Jour de l'an</t>
  </si>
  <si>
    <t>Lundi de pâques</t>
  </si>
  <si>
    <t>Fete du travail</t>
  </si>
  <si>
    <t>Victoire alliés</t>
  </si>
  <si>
    <t>Ascension</t>
  </si>
  <si>
    <t>Date début mois</t>
  </si>
  <si>
    <t>Pentecote</t>
  </si>
  <si>
    <t>Date fin mois</t>
  </si>
  <si>
    <t>Fete nationale</t>
  </si>
  <si>
    <t>jours</t>
  </si>
  <si>
    <t>Automatique</t>
  </si>
  <si>
    <t>jours ouvrés/travaillés</t>
  </si>
  <si>
    <t>Assomption</t>
  </si>
  <si>
    <t>jours week end</t>
  </si>
  <si>
    <t>Toussaint</t>
  </si>
  <si>
    <t>jours feriés hors w-e</t>
  </si>
  <si>
    <t>Armistice</t>
  </si>
  <si>
    <t>Noel</t>
  </si>
  <si>
    <t>effectif annuel</t>
  </si>
  <si>
    <t>Nombre de jours d'absence</t>
  </si>
  <si>
    <t>Maladie</t>
  </si>
  <si>
    <t>Formation</t>
  </si>
  <si>
    <t>Accidents de travail</t>
  </si>
  <si>
    <t>Chomage partiel</t>
  </si>
  <si>
    <t>Taux d'absentéisme en France</t>
  </si>
  <si>
    <t>Plan de formation - Année 2025-2026</t>
  </si>
  <si>
    <t>PROCESSUS</t>
  </si>
  <si>
    <t>NOM DU STAGE</t>
  </si>
  <si>
    <t>COTATION</t>
  </si>
  <si>
    <t>ORGANISME</t>
  </si>
  <si>
    <t>STAGIAIRE</t>
  </si>
  <si>
    <t>PROVENANCE</t>
  </si>
  <si>
    <t>DATES PLANNIFIEES</t>
  </si>
  <si>
    <t>INSCRIPTION SITE OPCO</t>
  </si>
  <si>
    <t>DATE DE FIN</t>
  </si>
  <si>
    <t>RETOUR FORMALISE
(PS1 F 004)</t>
  </si>
  <si>
    <t>REALISE</t>
  </si>
  <si>
    <t>DUREE (Heure)</t>
  </si>
  <si>
    <t>COUT DU STAGE (€ HT)</t>
  </si>
  <si>
    <t>COUT SALARIAL (€)</t>
  </si>
  <si>
    <t>FRAIS DE DEPLACMENTS (€)</t>
  </si>
  <si>
    <t>COUT TOTAL (€ HT)</t>
  </si>
  <si>
    <t>MONTANT PRIS EN CHARGE PAR OPCO 2I
(€ HT)</t>
  </si>
  <si>
    <t>OPCO REGLE L'ORGANISME DE FORMATION</t>
  </si>
  <si>
    <t>DATE REGLEMENT OPCO</t>
  </si>
  <si>
    <t>RESTE A CHARGE ABO FRANCE (€ HT)</t>
  </si>
  <si>
    <t>Sensibilisation cybersecurité - Médaille argent</t>
  </si>
  <si>
    <t>Niveau 1</t>
  </si>
  <si>
    <t>Phished Academy</t>
  </si>
  <si>
    <t>Caroline MONGET</t>
  </si>
  <si>
    <t>Abo BE</t>
  </si>
  <si>
    <t>Michel RACHEDI</t>
  </si>
  <si>
    <t>Renée DUCHENE</t>
  </si>
  <si>
    <t>Axelle ELUAU</t>
  </si>
  <si>
    <t>Sensibilisation cybersecurité - Médaille or</t>
  </si>
  <si>
    <t>ADR 1,3</t>
  </si>
  <si>
    <t>AFTRAL</t>
  </si>
  <si>
    <t>Réglementaire</t>
  </si>
  <si>
    <t>13 et 14/11/25</t>
  </si>
  <si>
    <t>25FOR15157</t>
  </si>
  <si>
    <t>Niveau 2</t>
  </si>
  <si>
    <t>Entretien individuel</t>
  </si>
  <si>
    <t>Manipulation d'extincteur / Formation équipier 1ére intervention</t>
  </si>
  <si>
    <t>SST</t>
  </si>
  <si>
    <t>Croix Rouge</t>
  </si>
  <si>
    <t>Ask date 09/01</t>
  </si>
  <si>
    <t>TVA</t>
  </si>
  <si>
    <t>Nouvelles normes plan comptable</t>
  </si>
  <si>
    <t>Outlook</t>
  </si>
  <si>
    <t>Formation cœur de métier</t>
  </si>
  <si>
    <t>Access</t>
  </si>
  <si>
    <t>Nombre de stages réalisés par salarié :</t>
  </si>
  <si>
    <t>Nombre de formations obligatoires réalisé :</t>
  </si>
  <si>
    <t>Nombre de formations obligatoires à réaliser :</t>
  </si>
  <si>
    <t>Taux de réalisation des formations obligatoires :</t>
  </si>
  <si>
    <t>FICHIER DE VIOLATION RGPD</t>
  </si>
  <si>
    <t>NOM</t>
  </si>
  <si>
    <t>TITRE</t>
  </si>
  <si>
    <t>NOM DE L'ORGANISATION</t>
  </si>
  <si>
    <t xml:space="preserve">
ADRESSE DE L'ORGANISATION
NUMÉRO DE TÉLÉPHONE
ADRESSE COURRIEL</t>
  </si>
  <si>
    <t>DATE ET HEURE DE L'ENVOI DE LA NOTIFICATION</t>
  </si>
  <si>
    <t>DATE ET HEURE DE LA DÉTECTION DE LA VIOLATION DE DONNÉES</t>
  </si>
  <si>
    <t>TEMPS ÉCOULÉ ENTRE LA DÉTECTION ET LA NOTIFICATION</t>
  </si>
  <si>
    <t>DESCRIPTION DE LA NATURE DE LA VIOLATION DE DONNÉES À CARACTÈRE PERSONNEL</t>
  </si>
  <si>
    <t>CONSÉQUENCES PROBABLES DE LA VIOLATION DE DONNÉES</t>
  </si>
  <si>
    <t>MESURES DÉJÀ PRISES POUR REMÉDIER À L'ATTEINTE</t>
  </si>
  <si>
    <t>MESURES PROPOSÉES POUR REMÉDIER DAVANTAGE À LA VIOLATION</t>
  </si>
  <si>
    <t>RAISONS DU RETARD DANS LA NOTIFICATION, S'IL Y A LIEU</t>
  </si>
  <si>
    <t>ETAT</t>
  </si>
  <si>
    <t>NOTIFICATION CNIL</t>
  </si>
  <si>
    <t>NOTIFICATION personne concernée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</si>
</sst>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[$-40C]mmm\-yy;@"/>
    <numFmt numFmtId="165" formatCode="dd/mm/yy;@"/>
    <numFmt numFmtId="166" formatCode="0.0%"/>
    <numFmt numFmtId="167" formatCode="[$-F800]dddd\,\ mmmm\ dd\,\ yyyy"/>
    <numFmt numFmtId="168" formatCode="d/m/yy;@"/>
    <numFmt numFmtId="169" formatCode="0.0"/>
  </numFmts>
  <fonts count="5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6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i/>
      <sz val="8"/>
      <color theme="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u/>
      <sz val="10"/>
      <name val="Arial"/>
      <family val="2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rgb="FF000000"/>
      <name val="Verdana"/>
      <family val="2"/>
    </font>
    <font>
      <b/>
      <sz val="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4"/>
      <color rgb="FF333333"/>
      <name val="Arial"/>
      <family val="2"/>
    </font>
    <font>
      <b/>
      <sz val="11"/>
      <color rgb="FFFF0000"/>
      <name val="Arial"/>
      <family val="2"/>
    </font>
    <font>
      <sz val="9"/>
      <color rgb="FF000000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0"/>
      <color rgb="FF00B050"/>
      <name val="Arial"/>
      <family val="2"/>
    </font>
    <font>
      <sz val="10"/>
      <color theme="4" tint="-0.249977111117893"/>
      <name val="Arial"/>
      <family val="2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bgColor theme="8" tint="0.79998168889431442"/>
      </patternFill>
    </fill>
    <fill>
      <patternFill patternType="mediumGray">
        <bgColor theme="8" tint="0.79995117038483843"/>
      </patternFill>
    </fill>
    <fill>
      <patternFill patternType="mediumGray"/>
    </fill>
    <fill>
      <patternFill patternType="solid">
        <fgColor theme="4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1"/>
        <bgColor indexed="64"/>
      </patternFill>
    </fill>
    <fill>
      <patternFill patternType="darkUp">
        <bgColor theme="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8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mediumGray">
        <bgColor rgb="FFFF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dotted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5" fillId="0" borderId="0" applyFont="0" applyFill="0" applyBorder="0" applyAlignment="0" applyProtection="0"/>
    <xf numFmtId="0" fontId="28" fillId="0" borderId="0"/>
    <xf numFmtId="0" fontId="15" fillId="0" borderId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36" fillId="0" borderId="0"/>
    <xf numFmtId="0" fontId="36" fillId="0" borderId="0"/>
  </cellStyleXfs>
  <cellXfs count="62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19" xfId="0" applyBorder="1"/>
    <xf numFmtId="0" fontId="5" fillId="0" borderId="0" xfId="0" applyFont="1" applyAlignment="1">
      <alignment horizontal="centerContinuous"/>
    </xf>
    <xf numFmtId="3" fontId="0" fillId="0" borderId="6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wrapText="1"/>
    </xf>
    <xf numFmtId="9" fontId="0" fillId="4" borderId="6" xfId="0" applyNumberFormat="1" applyFill="1" applyBorder="1" applyAlignment="1">
      <alignment horizontal="center" wrapText="1"/>
    </xf>
    <xf numFmtId="9" fontId="0" fillId="0" borderId="6" xfId="0" applyNumberFormat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9" fontId="0" fillId="0" borderId="14" xfId="0" applyNumberFormat="1" applyBorder="1" applyAlignment="1">
      <alignment horizontal="center" wrapText="1"/>
    </xf>
    <xf numFmtId="9" fontId="0" fillId="4" borderId="14" xfId="0" applyNumberFormat="1" applyFill="1" applyBorder="1" applyAlignment="1">
      <alignment horizontal="center" wrapText="1"/>
    </xf>
    <xf numFmtId="1" fontId="0" fillId="0" borderId="14" xfId="0" applyNumberFormat="1" applyBorder="1" applyAlignment="1">
      <alignment horizontal="center" wrapText="1"/>
    </xf>
    <xf numFmtId="9" fontId="0" fillId="0" borderId="14" xfId="0" applyNumberFormat="1" applyBorder="1" applyAlignment="1">
      <alignment horizontal="left" wrapText="1"/>
    </xf>
    <xf numFmtId="1" fontId="0" fillId="4" borderId="14" xfId="0" applyNumberFormat="1" applyFill="1" applyBorder="1" applyAlignment="1">
      <alignment horizontal="center" wrapText="1"/>
    </xf>
    <xf numFmtId="1" fontId="0" fillId="0" borderId="18" xfId="0" applyNumberFormat="1" applyBorder="1" applyAlignment="1">
      <alignment horizontal="center" wrapText="1"/>
    </xf>
    <xf numFmtId="9" fontId="0" fillId="0" borderId="3" xfId="0" applyNumberFormat="1" applyBorder="1" applyAlignment="1">
      <alignment horizontal="center" wrapText="1"/>
    </xf>
    <xf numFmtId="0" fontId="0" fillId="0" borderId="16" xfId="0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" fontId="0" fillId="0" borderId="16" xfId="0" applyNumberFormat="1" applyBorder="1" applyAlignment="1">
      <alignment horizontal="center" wrapText="1"/>
    </xf>
    <xf numFmtId="1" fontId="0" fillId="7" borderId="16" xfId="0" applyNumberFormat="1" applyFill="1" applyBorder="1" applyAlignment="1">
      <alignment horizontal="center" wrapText="1"/>
    </xf>
    <xf numFmtId="1" fontId="0" fillId="4" borderId="16" xfId="0" applyNumberFormat="1" applyFill="1" applyBorder="1" applyAlignment="1">
      <alignment horizontal="center" wrapText="1"/>
    </xf>
    <xf numFmtId="0" fontId="0" fillId="0" borderId="6" xfId="0" applyBorder="1"/>
    <xf numFmtId="165" fontId="0" fillId="0" borderId="6" xfId="0" applyNumberFormat="1" applyBorder="1" applyAlignment="1">
      <alignment horizontal="center"/>
    </xf>
    <xf numFmtId="3" fontId="0" fillId="0" borderId="6" xfId="0" applyNumberFormat="1" applyBorder="1" applyAlignment="1">
      <alignment horizontal="center" wrapText="1"/>
    </xf>
    <xf numFmtId="3" fontId="0" fillId="4" borderId="6" xfId="0" applyNumberFormat="1" applyFill="1" applyBorder="1" applyAlignment="1">
      <alignment horizontal="center" wrapText="1"/>
    </xf>
    <xf numFmtId="9" fontId="0" fillId="0" borderId="0" xfId="0" applyNumberFormat="1"/>
    <xf numFmtId="0" fontId="0" fillId="0" borderId="14" xfId="0" applyBorder="1"/>
    <xf numFmtId="165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7" xfId="0" applyBorder="1"/>
    <xf numFmtId="165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left"/>
    </xf>
    <xf numFmtId="9" fontId="0" fillId="0" borderId="17" xfId="0" applyNumberFormat="1" applyBorder="1" applyAlignment="1">
      <alignment horizontal="center" wrapText="1"/>
    </xf>
    <xf numFmtId="9" fontId="0" fillId="4" borderId="16" xfId="0" applyNumberFormat="1" applyFill="1" applyBorder="1" applyAlignment="1">
      <alignment horizontal="center" wrapText="1"/>
    </xf>
    <xf numFmtId="9" fontId="0" fillId="0" borderId="16" xfId="0" applyNumberFormat="1" applyBorder="1" applyAlignment="1">
      <alignment horizontal="center" wrapText="1"/>
    </xf>
    <xf numFmtId="9" fontId="0" fillId="10" borderId="16" xfId="0" applyNumberFormat="1" applyFill="1" applyBorder="1" applyAlignment="1">
      <alignment horizont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9" fontId="0" fillId="0" borderId="6" xfId="0" applyNumberFormat="1" applyBorder="1" applyAlignment="1">
      <alignment horizontal="left"/>
    </xf>
    <xf numFmtId="9" fontId="0" fillId="0" borderId="6" xfId="0" applyNumberFormat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9" fontId="0" fillId="0" borderId="14" xfId="0" applyNumberFormat="1" applyBorder="1" applyAlignment="1">
      <alignment horizontal="left"/>
    </xf>
    <xf numFmtId="9" fontId="0" fillId="0" borderId="14" xfId="0" applyNumberFormat="1" applyBorder="1" applyAlignment="1">
      <alignment horizontal="center"/>
    </xf>
    <xf numFmtId="9" fontId="0" fillId="4" borderId="14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left"/>
    </xf>
    <xf numFmtId="1" fontId="0" fillId="0" borderId="17" xfId="0" applyNumberFormat="1" applyBorder="1" applyAlignment="1">
      <alignment horizontal="center"/>
    </xf>
    <xf numFmtId="1" fontId="0" fillId="4" borderId="17" xfId="0" applyNumberFormat="1" applyFill="1" applyBorder="1" applyAlignment="1">
      <alignment horizontal="center"/>
    </xf>
    <xf numFmtId="1" fontId="0" fillId="0" borderId="17" xfId="0" applyNumberFormat="1" applyBorder="1" applyAlignment="1">
      <alignment horizontal="center" wrapText="1"/>
    </xf>
    <xf numFmtId="9" fontId="0" fillId="0" borderId="1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165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left"/>
    </xf>
    <xf numFmtId="1" fontId="0" fillId="0" borderId="16" xfId="0" applyNumberFormat="1" applyBorder="1" applyAlignment="1">
      <alignment horizontal="center"/>
    </xf>
    <xf numFmtId="1" fontId="0" fillId="4" borderId="1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9" fontId="0" fillId="0" borderId="22" xfId="0" applyNumberFormat="1" applyBorder="1" applyAlignment="1">
      <alignment horizontal="center" wrapText="1"/>
    </xf>
    <xf numFmtId="0" fontId="0" fillId="0" borderId="7" xfId="0" applyBorder="1" applyAlignment="1">
      <alignment horizontal="left"/>
    </xf>
    <xf numFmtId="1" fontId="0" fillId="0" borderId="3" xfId="0" applyNumberFormat="1" applyBorder="1" applyAlignment="1">
      <alignment horizontal="center" wrapText="1"/>
    </xf>
    <xf numFmtId="1" fontId="0" fillId="4" borderId="3" xfId="0" applyNumberFormat="1" applyFill="1" applyBorder="1" applyAlignment="1">
      <alignment horizontal="center" wrapText="1"/>
    </xf>
    <xf numFmtId="1" fontId="0" fillId="4" borderId="17" xfId="0" applyNumberFormat="1" applyFill="1" applyBorder="1" applyAlignment="1">
      <alignment horizontal="center" wrapText="1"/>
    </xf>
    <xf numFmtId="9" fontId="0" fillId="4" borderId="17" xfId="0" applyNumberFormat="1" applyFill="1" applyBorder="1" applyAlignment="1">
      <alignment horizontal="center" wrapText="1"/>
    </xf>
    <xf numFmtId="0" fontId="0" fillId="0" borderId="16" xfId="0" applyBorder="1"/>
    <xf numFmtId="165" fontId="0" fillId="0" borderId="16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/>
    </xf>
    <xf numFmtId="3" fontId="0" fillId="6" borderId="6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3" fontId="0" fillId="6" borderId="14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0" fillId="5" borderId="0" xfId="0" applyFill="1"/>
    <xf numFmtId="0" fontId="0" fillId="12" borderId="0" xfId="0" applyFill="1"/>
    <xf numFmtId="10" fontId="0" fillId="0" borderId="17" xfId="0" applyNumberFormat="1" applyBorder="1" applyAlignment="1">
      <alignment horizontal="center" wrapText="1"/>
    </xf>
    <xf numFmtId="9" fontId="0" fillId="10" borderId="17" xfId="0" applyNumberFormat="1" applyFill="1" applyBorder="1" applyAlignment="1">
      <alignment horizontal="center" wrapText="1"/>
    </xf>
    <xf numFmtId="0" fontId="0" fillId="0" borderId="16" xfId="0" applyBorder="1" applyAlignment="1">
      <alignment horizontal="left"/>
    </xf>
    <xf numFmtId="2" fontId="0" fillId="0" borderId="16" xfId="0" applyNumberFormat="1" applyBorder="1" applyAlignment="1">
      <alignment horizontal="center" wrapText="1"/>
    </xf>
    <xf numFmtId="9" fontId="0" fillId="4" borderId="16" xfId="0" applyNumberForma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13" xfId="0" applyFont="1" applyFill="1" applyBorder="1" applyAlignment="1">
      <alignment horizontal="centerContinuous" vertical="center" wrapText="1"/>
    </xf>
    <xf numFmtId="9" fontId="0" fillId="9" borderId="6" xfId="0" applyNumberFormat="1" applyFill="1" applyBorder="1" applyAlignment="1">
      <alignment horizontal="center" wrapText="1"/>
    </xf>
    <xf numFmtId="1" fontId="0" fillId="9" borderId="14" xfId="0" applyNumberFormat="1" applyFill="1" applyBorder="1" applyAlignment="1">
      <alignment horizontal="center" wrapText="1"/>
    </xf>
    <xf numFmtId="0" fontId="8" fillId="0" borderId="0" xfId="0" applyFont="1"/>
    <xf numFmtId="0" fontId="0" fillId="13" borderId="9" xfId="0" applyFill="1" applyBorder="1"/>
    <xf numFmtId="0" fontId="0" fillId="13" borderId="10" xfId="0" applyFill="1" applyBorder="1" applyAlignment="1">
      <alignment horizontal="center"/>
    </xf>
    <xf numFmtId="0" fontId="0" fillId="13" borderId="11" xfId="0" applyFill="1" applyBorder="1"/>
    <xf numFmtId="0" fontId="0" fillId="13" borderId="12" xfId="0" applyFill="1" applyBorder="1" applyAlignment="1">
      <alignment horizontal="center"/>
    </xf>
    <xf numFmtId="0" fontId="0" fillId="13" borderId="8" xfId="0" applyFill="1" applyBorder="1"/>
    <xf numFmtId="0" fontId="0" fillId="13" borderId="23" xfId="0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0" fillId="14" borderId="1" xfId="0" applyFont="1" applyFill="1" applyBorder="1"/>
    <xf numFmtId="0" fontId="10" fillId="15" borderId="1" xfId="0" applyFont="1" applyFill="1" applyBorder="1" applyAlignment="1">
      <alignment horizontal="center" vertical="top" wrapText="1"/>
    </xf>
    <xf numFmtId="4" fontId="0" fillId="5" borderId="0" xfId="0" applyNumberFormat="1" applyFill="1"/>
    <xf numFmtId="9" fontId="0" fillId="11" borderId="14" xfId="0" applyNumberForma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left"/>
    </xf>
    <xf numFmtId="1" fontId="0" fillId="0" borderId="22" xfId="0" applyNumberFormat="1" applyBorder="1" applyAlignment="1">
      <alignment horizontal="center" wrapText="1"/>
    </xf>
    <xf numFmtId="165" fontId="0" fillId="0" borderId="22" xfId="0" applyNumberFormat="1" applyBorder="1" applyAlignment="1">
      <alignment horizontal="center"/>
    </xf>
    <xf numFmtId="9" fontId="0" fillId="11" borderId="22" xfId="0" applyNumberFormat="1" applyFill="1" applyBorder="1" applyAlignment="1">
      <alignment horizontal="center" wrapText="1"/>
    </xf>
    <xf numFmtId="0" fontId="0" fillId="0" borderId="25" xfId="0" applyBorder="1"/>
    <xf numFmtId="9" fontId="0" fillId="0" borderId="17" xfId="0" applyNumberFormat="1" applyBorder="1" applyAlignment="1">
      <alignment horizontal="left" wrapText="1"/>
    </xf>
    <xf numFmtId="9" fontId="0" fillId="16" borderId="17" xfId="0" applyNumberFormat="1" applyFill="1" applyBorder="1" applyAlignment="1">
      <alignment horizontal="center" wrapText="1"/>
    </xf>
    <xf numFmtId="9" fontId="0" fillId="16" borderId="17" xfId="0" applyNumberFormat="1" applyFill="1" applyBorder="1" applyAlignment="1">
      <alignment horizontal="left" wrapText="1"/>
    </xf>
    <xf numFmtId="1" fontId="0" fillId="16" borderId="16" xfId="0" applyNumberFormat="1" applyFill="1" applyBorder="1" applyAlignment="1">
      <alignment horizontal="center" wrapText="1"/>
    </xf>
    <xf numFmtId="9" fontId="0" fillId="16" borderId="16" xfId="0" applyNumberFormat="1" applyFill="1" applyBorder="1" applyAlignment="1">
      <alignment horizontal="left" wrapText="1"/>
    </xf>
    <xf numFmtId="1" fontId="0" fillId="16" borderId="16" xfId="0" applyNumberFormat="1" applyFill="1" applyBorder="1" applyAlignment="1">
      <alignment horizontal="left" wrapText="1"/>
    </xf>
    <xf numFmtId="9" fontId="0" fillId="16" borderId="14" xfId="0" applyNumberFormat="1" applyFill="1" applyBorder="1" applyAlignment="1">
      <alignment horizontal="center" wrapText="1"/>
    </xf>
    <xf numFmtId="0" fontId="0" fillId="16" borderId="17" xfId="0" applyFill="1" applyBorder="1" applyAlignment="1">
      <alignment horizontal="left"/>
    </xf>
    <xf numFmtId="9" fontId="0" fillId="16" borderId="14" xfId="0" applyNumberFormat="1" applyFill="1" applyBorder="1" applyAlignment="1">
      <alignment horizontal="center"/>
    </xf>
    <xf numFmtId="9" fontId="0" fillId="16" borderId="14" xfId="0" applyNumberFormat="1" applyFill="1" applyBorder="1" applyAlignment="1">
      <alignment horizontal="left"/>
    </xf>
    <xf numFmtId="1" fontId="0" fillId="16" borderId="14" xfId="0" applyNumberFormat="1" applyFill="1" applyBorder="1" applyAlignment="1">
      <alignment horizontal="center" wrapText="1"/>
    </xf>
    <xf numFmtId="0" fontId="0" fillId="16" borderId="14" xfId="0" applyFill="1" applyBorder="1" applyAlignment="1">
      <alignment horizontal="left"/>
    </xf>
    <xf numFmtId="9" fontId="0" fillId="16" borderId="14" xfId="0" applyNumberFormat="1" applyFill="1" applyBorder="1" applyAlignment="1">
      <alignment horizontal="left" wrapText="1"/>
    </xf>
    <xf numFmtId="1" fontId="0" fillId="16" borderId="3" xfId="0" applyNumberFormat="1" applyFill="1" applyBorder="1" applyAlignment="1">
      <alignment horizontal="center" wrapText="1"/>
    </xf>
    <xf numFmtId="0" fontId="0" fillId="16" borderId="3" xfId="0" applyFill="1" applyBorder="1" applyAlignment="1">
      <alignment horizontal="left"/>
    </xf>
    <xf numFmtId="9" fontId="0" fillId="16" borderId="3" xfId="0" applyNumberFormat="1" applyFill="1" applyBorder="1" applyAlignment="1">
      <alignment horizontal="left" wrapText="1"/>
    </xf>
    <xf numFmtId="0" fontId="0" fillId="16" borderId="25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0" fontId="0" fillId="0" borderId="13" xfId="0" applyBorder="1"/>
    <xf numFmtId="1" fontId="0" fillId="0" borderId="7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left"/>
    </xf>
    <xf numFmtId="10" fontId="0" fillId="0" borderId="14" xfId="0" applyNumberFormat="1" applyBorder="1" applyAlignment="1">
      <alignment horizontal="left" wrapText="1"/>
    </xf>
    <xf numFmtId="1" fontId="0" fillId="8" borderId="14" xfId="0" applyNumberFormat="1" applyFill="1" applyBorder="1" applyAlignment="1">
      <alignment horizontal="center" wrapText="1"/>
    </xf>
    <xf numFmtId="3" fontId="0" fillId="0" borderId="17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left"/>
    </xf>
    <xf numFmtId="3" fontId="0" fillId="0" borderId="6" xfId="0" applyNumberFormat="1" applyBorder="1" applyAlignment="1">
      <alignment horizontal="left" wrapText="1"/>
    </xf>
    <xf numFmtId="9" fontId="0" fillId="0" borderId="6" xfId="0" applyNumberFormat="1" applyBorder="1" applyAlignment="1">
      <alignment horizontal="left" wrapText="1"/>
    </xf>
    <xf numFmtId="1" fontId="0" fillId="0" borderId="16" xfId="0" applyNumberFormat="1" applyBorder="1" applyAlignment="1">
      <alignment horizontal="left" wrapText="1"/>
    </xf>
    <xf numFmtId="165" fontId="0" fillId="16" borderId="14" xfId="0" applyNumberFormat="1" applyFill="1" applyBorder="1" applyAlignment="1">
      <alignment horizontal="center"/>
    </xf>
    <xf numFmtId="1" fontId="0" fillId="16" borderId="14" xfId="0" applyNumberFormat="1" applyFill="1" applyBorder="1" applyAlignment="1">
      <alignment horizontal="center"/>
    </xf>
    <xf numFmtId="9" fontId="0" fillId="16" borderId="14" xfId="0" applyNumberFormat="1" applyFill="1" applyBorder="1"/>
    <xf numFmtId="0" fontId="0" fillId="16" borderId="16" xfId="0" applyFill="1" applyBorder="1" applyAlignment="1">
      <alignment horizontal="center"/>
    </xf>
    <xf numFmtId="165" fontId="0" fillId="16" borderId="16" xfId="0" applyNumberFormat="1" applyFill="1" applyBorder="1" applyAlignment="1">
      <alignment horizontal="center"/>
    </xf>
    <xf numFmtId="9" fontId="0" fillId="16" borderId="16" xfId="0" applyNumberFormat="1" applyFill="1" applyBorder="1" applyAlignment="1">
      <alignment horizontal="center"/>
    </xf>
    <xf numFmtId="1" fontId="0" fillId="16" borderId="16" xfId="0" applyNumberFormat="1" applyFill="1" applyBorder="1"/>
    <xf numFmtId="1" fontId="0" fillId="16" borderId="16" xfId="0" applyNumberFormat="1" applyFill="1" applyBorder="1" applyAlignment="1">
      <alignment horizontal="left"/>
    </xf>
    <xf numFmtId="10" fontId="0" fillId="0" borderId="22" xfId="0" applyNumberFormat="1" applyBorder="1" applyAlignment="1">
      <alignment horizontal="left" wrapText="1"/>
    </xf>
    <xf numFmtId="9" fontId="0" fillId="4" borderId="22" xfId="0" applyNumberFormat="1" applyFill="1" applyBorder="1" applyAlignment="1">
      <alignment horizontal="center" wrapText="1"/>
    </xf>
    <xf numFmtId="9" fontId="0" fillId="4" borderId="22" xfId="0" applyNumberFormat="1" applyFill="1" applyBorder="1" applyAlignment="1">
      <alignment horizontal="center"/>
    </xf>
    <xf numFmtId="10" fontId="0" fillId="0" borderId="22" xfId="0" applyNumberFormat="1" applyBorder="1" applyAlignment="1">
      <alignment horizontal="center" wrapText="1"/>
    </xf>
    <xf numFmtId="0" fontId="0" fillId="16" borderId="0" xfId="0" applyFill="1" applyAlignment="1">
      <alignment horizontal="center"/>
    </xf>
    <xf numFmtId="0" fontId="0" fillId="16" borderId="0" xfId="0" applyFill="1"/>
    <xf numFmtId="165" fontId="0" fillId="16" borderId="0" xfId="0" applyNumberFormat="1" applyFill="1"/>
    <xf numFmtId="9" fontId="0" fillId="16" borderId="0" xfId="0" applyNumberFormat="1" applyFill="1"/>
    <xf numFmtId="9" fontId="0" fillId="16" borderId="0" xfId="0" applyNumberFormat="1" applyFill="1" applyAlignment="1">
      <alignment horizontal="left"/>
    </xf>
    <xf numFmtId="0" fontId="0" fillId="16" borderId="6" xfId="0" applyFill="1" applyBorder="1" applyAlignment="1">
      <alignment horizontal="center"/>
    </xf>
    <xf numFmtId="165" fontId="0" fillId="16" borderId="6" xfId="0" applyNumberFormat="1" applyFill="1" applyBorder="1" applyAlignment="1">
      <alignment horizontal="center"/>
    </xf>
    <xf numFmtId="1" fontId="0" fillId="16" borderId="6" xfId="0" applyNumberFormat="1" applyFill="1" applyBorder="1" applyAlignment="1">
      <alignment horizontal="center"/>
    </xf>
    <xf numFmtId="9" fontId="0" fillId="16" borderId="6" xfId="0" applyNumberFormat="1" applyFill="1" applyBorder="1"/>
    <xf numFmtId="9" fontId="0" fillId="16" borderId="6" xfId="0" applyNumberFormat="1" applyFill="1" applyBorder="1" applyAlignment="1">
      <alignment horizontal="left"/>
    </xf>
    <xf numFmtId="1" fontId="0" fillId="17" borderId="6" xfId="0" applyNumberFormat="1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0" xfId="0" applyFill="1"/>
    <xf numFmtId="10" fontId="0" fillId="5" borderId="0" xfId="0" applyNumberFormat="1" applyFill="1"/>
    <xf numFmtId="166" fontId="0" fillId="0" borderId="1" xfId="0" applyNumberFormat="1" applyBorder="1" applyAlignment="1">
      <alignment horizontal="center"/>
    </xf>
    <xf numFmtId="9" fontId="0" fillId="16" borderId="17" xfId="0" applyNumberFormat="1" applyFill="1" applyBorder="1" applyAlignment="1">
      <alignment horizontal="left"/>
    </xf>
    <xf numFmtId="9" fontId="0" fillId="16" borderId="16" xfId="0" applyNumberFormat="1" applyFill="1" applyBorder="1" applyAlignment="1">
      <alignment horizontal="left"/>
    </xf>
    <xf numFmtId="9" fontId="7" fillId="0" borderId="16" xfId="0" applyNumberFormat="1" applyFont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2" xfId="0" applyFont="1" applyBorder="1"/>
    <xf numFmtId="0" fontId="7" fillId="16" borderId="22" xfId="0" applyFont="1" applyFill="1" applyBorder="1" applyAlignment="1">
      <alignment horizontal="center"/>
    </xf>
    <xf numFmtId="165" fontId="7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left"/>
    </xf>
    <xf numFmtId="1" fontId="7" fillId="0" borderId="22" xfId="0" applyNumberFormat="1" applyFont="1" applyBorder="1" applyAlignment="1">
      <alignment horizontal="center" wrapText="1"/>
    </xf>
    <xf numFmtId="1" fontId="7" fillId="16" borderId="22" xfId="0" applyNumberFormat="1" applyFont="1" applyFill="1" applyBorder="1" applyAlignment="1">
      <alignment horizontal="center" wrapText="1"/>
    </xf>
    <xf numFmtId="0" fontId="7" fillId="16" borderId="22" xfId="0" applyFont="1" applyFill="1" applyBorder="1" applyAlignment="1">
      <alignment horizontal="left"/>
    </xf>
    <xf numFmtId="9" fontId="7" fillId="16" borderId="22" xfId="0" applyNumberFormat="1" applyFont="1" applyFill="1" applyBorder="1" applyAlignment="1">
      <alignment horizontal="left" wrapText="1"/>
    </xf>
    <xf numFmtId="1" fontId="7" fillId="7" borderId="22" xfId="0" applyNumberFormat="1" applyFont="1" applyFill="1" applyBorder="1" applyAlignment="1">
      <alignment horizontal="center" wrapText="1"/>
    </xf>
    <xf numFmtId="1" fontId="7" fillId="4" borderId="22" xfId="0" applyNumberFormat="1" applyFont="1" applyFill="1" applyBorder="1" applyAlignment="1">
      <alignment horizontal="center" wrapText="1"/>
    </xf>
    <xf numFmtId="0" fontId="7" fillId="0" borderId="0" xfId="0" applyFont="1"/>
    <xf numFmtId="0" fontId="7" fillId="0" borderId="14" xfId="0" applyFont="1" applyBorder="1" applyAlignment="1">
      <alignment horizontal="center"/>
    </xf>
    <xf numFmtId="0" fontId="7" fillId="0" borderId="14" xfId="0" applyFont="1" applyBorder="1"/>
    <xf numFmtId="165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1" fontId="7" fillId="0" borderId="14" xfId="0" applyNumberFormat="1" applyFont="1" applyBorder="1" applyAlignment="1">
      <alignment horizontal="center" wrapText="1"/>
    </xf>
    <xf numFmtId="1" fontId="7" fillId="4" borderId="14" xfId="0" applyNumberFormat="1" applyFont="1" applyFill="1" applyBorder="1" applyAlignment="1">
      <alignment horizontal="center" wrapText="1"/>
    </xf>
    <xf numFmtId="1" fontId="7" fillId="0" borderId="17" xfId="0" applyNumberFormat="1" applyFont="1" applyBorder="1" applyAlignment="1">
      <alignment horizontal="center" wrapText="1"/>
    </xf>
    <xf numFmtId="0" fontId="7" fillId="0" borderId="17" xfId="0" applyFont="1" applyBorder="1" applyAlignment="1">
      <alignment horizontal="left"/>
    </xf>
    <xf numFmtId="9" fontId="7" fillId="0" borderId="14" xfId="0" applyNumberFormat="1" applyFont="1" applyBorder="1" applyAlignment="1">
      <alignment horizontal="left" wrapText="1"/>
    </xf>
    <xf numFmtId="1" fontId="7" fillId="4" borderId="17" xfId="0" applyNumberFormat="1" applyFont="1" applyFill="1" applyBorder="1" applyAlignment="1">
      <alignment horizontal="center" wrapText="1"/>
    </xf>
    <xf numFmtId="1" fontId="7" fillId="9" borderId="17" xfId="0" applyNumberFormat="1" applyFont="1" applyFill="1" applyBorder="1" applyAlignment="1">
      <alignment horizontal="center" wrapText="1"/>
    </xf>
    <xf numFmtId="3" fontId="7" fillId="0" borderId="14" xfId="0" applyNumberFormat="1" applyFont="1" applyBorder="1" applyAlignment="1">
      <alignment horizontal="center" wrapText="1"/>
    </xf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165" fontId="7" fillId="0" borderId="17" xfId="0" applyNumberFormat="1" applyFont="1" applyBorder="1" applyAlignment="1">
      <alignment horizontal="center"/>
    </xf>
    <xf numFmtId="9" fontId="7" fillId="0" borderId="17" xfId="0" applyNumberFormat="1" applyFont="1" applyBorder="1" applyAlignment="1">
      <alignment horizontal="center" wrapText="1"/>
    </xf>
    <xf numFmtId="9" fontId="7" fillId="0" borderId="17" xfId="0" applyNumberFormat="1" applyFont="1" applyBorder="1" applyAlignment="1">
      <alignment horizontal="left" wrapText="1"/>
    </xf>
    <xf numFmtId="9" fontId="7" fillId="4" borderId="17" xfId="0" applyNumberFormat="1" applyFont="1" applyFill="1" applyBorder="1" applyAlignment="1">
      <alignment horizontal="center" wrapText="1"/>
    </xf>
    <xf numFmtId="9" fontId="7" fillId="0" borderId="14" xfId="0" applyNumberFormat="1" applyFont="1" applyBorder="1" applyAlignment="1">
      <alignment horizontal="center" wrapText="1"/>
    </xf>
    <xf numFmtId="9" fontId="7" fillId="8" borderId="17" xfId="0" applyNumberFormat="1" applyFont="1" applyFill="1" applyBorder="1" applyAlignment="1">
      <alignment horizontal="center" wrapText="1"/>
    </xf>
    <xf numFmtId="9" fontId="7" fillId="8" borderId="14" xfId="0" applyNumberFormat="1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Continuous" vertical="center" wrapText="1"/>
    </xf>
    <xf numFmtId="0" fontId="1" fillId="18" borderId="13" xfId="0" applyFont="1" applyFill="1" applyBorder="1" applyAlignment="1">
      <alignment horizontal="centerContinuous" vertical="center" wrapText="1"/>
    </xf>
    <xf numFmtId="0" fontId="1" fillId="18" borderId="5" xfId="0" applyFont="1" applyFill="1" applyBorder="1" applyAlignment="1">
      <alignment horizontal="centerContinuous" vertical="center" wrapText="1"/>
    </xf>
    <xf numFmtId="164" fontId="1" fillId="18" borderId="2" xfId="0" applyNumberFormat="1" applyFont="1" applyFill="1" applyBorder="1" applyAlignment="1">
      <alignment horizontal="center" vertical="center" wrapText="1"/>
    </xf>
    <xf numFmtId="164" fontId="1" fillId="18" borderId="4" xfId="0" applyNumberFormat="1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3" fillId="0" borderId="9" xfId="0" applyFont="1" applyBorder="1"/>
    <xf numFmtId="0" fontId="0" fillId="0" borderId="11" xfId="0" applyBorder="1"/>
    <xf numFmtId="0" fontId="0" fillId="0" borderId="0" xfId="0" applyAlignment="1">
      <alignment vertical="center"/>
    </xf>
    <xf numFmtId="0" fontId="0" fillId="0" borderId="20" xfId="0" applyBorder="1"/>
    <xf numFmtId="0" fontId="12" fillId="0" borderId="11" xfId="0" applyFont="1" applyBorder="1"/>
    <xf numFmtId="0" fontId="0" fillId="0" borderId="17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left" vertical="center" wrapText="1"/>
    </xf>
    <xf numFmtId="9" fontId="0" fillId="0" borderId="17" xfId="0" applyNumberFormat="1" applyBorder="1" applyAlignment="1">
      <alignment horizontal="center" vertical="center" wrapText="1"/>
    </xf>
    <xf numFmtId="9" fontId="0" fillId="11" borderId="17" xfId="0" applyNumberFormat="1" applyFill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left" vertical="center" wrapText="1"/>
    </xf>
    <xf numFmtId="3" fontId="14" fillId="4" borderId="6" xfId="0" applyNumberFormat="1" applyFont="1" applyFill="1" applyBorder="1" applyAlignment="1">
      <alignment horizont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" fontId="0" fillId="4" borderId="14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17" xfId="0" applyNumberFormat="1" applyBorder="1" applyAlignment="1">
      <alignment horizontal="center" wrapText="1"/>
    </xf>
    <xf numFmtId="1" fontId="0" fillId="0" borderId="17" xfId="0" applyNumberFormat="1" applyBorder="1" applyAlignment="1">
      <alignment horizontal="left" wrapText="1"/>
    </xf>
    <xf numFmtId="2" fontId="0" fillId="4" borderId="17" xfId="0" applyNumberFormat="1" applyFill="1" applyBorder="1" applyAlignment="1">
      <alignment horizontal="center" wrapText="1"/>
    </xf>
    <xf numFmtId="0" fontId="1" fillId="18" borderId="20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164" fontId="1" fillId="18" borderId="0" xfId="0" applyNumberFormat="1" applyFont="1" applyFill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18" borderId="13" xfId="0" applyFont="1" applyFill="1" applyBorder="1" applyAlignment="1">
      <alignment horizontal="left" vertical="center"/>
    </xf>
    <xf numFmtId="0" fontId="0" fillId="0" borderId="1" xfId="0" applyBorder="1"/>
    <xf numFmtId="1" fontId="0" fillId="16" borderId="16" xfId="0" applyNumberFormat="1" applyFill="1" applyBorder="1" applyAlignment="1">
      <alignment horizontal="center"/>
    </xf>
    <xf numFmtId="165" fontId="0" fillId="16" borderId="0" xfId="0" applyNumberFormat="1" applyFill="1" applyAlignment="1">
      <alignment horizontal="center"/>
    </xf>
    <xf numFmtId="165" fontId="0" fillId="16" borderId="17" xfId="0" applyNumberFormat="1" applyFill="1" applyBorder="1" applyAlignment="1">
      <alignment horizontal="center"/>
    </xf>
    <xf numFmtId="1" fontId="0" fillId="16" borderId="17" xfId="0" applyNumberFormat="1" applyFill="1" applyBorder="1" applyAlignment="1">
      <alignment horizontal="center"/>
    </xf>
    <xf numFmtId="9" fontId="0" fillId="16" borderId="17" xfId="0" applyNumberFormat="1" applyFill="1" applyBorder="1"/>
    <xf numFmtId="3" fontId="0" fillId="10" borderId="17" xfId="0" applyNumberFormat="1" applyFill="1" applyBorder="1" applyAlignment="1">
      <alignment horizontal="center"/>
    </xf>
    <xf numFmtId="9" fontId="0" fillId="16" borderId="17" xfId="0" applyNumberFormat="1" applyFill="1" applyBorder="1" applyAlignment="1">
      <alignment horizontal="center"/>
    </xf>
    <xf numFmtId="1" fontId="0" fillId="16" borderId="17" xfId="0" applyNumberFormat="1" applyFill="1" applyBorder="1"/>
    <xf numFmtId="1" fontId="0" fillId="16" borderId="17" xfId="0" applyNumberFormat="1" applyFill="1" applyBorder="1" applyAlignment="1">
      <alignment horizontal="left"/>
    </xf>
    <xf numFmtId="165" fontId="0" fillId="16" borderId="7" xfId="0" applyNumberFormat="1" applyFill="1" applyBorder="1" applyAlignment="1">
      <alignment horizontal="center"/>
    </xf>
    <xf numFmtId="1" fontId="0" fillId="16" borderId="7" xfId="0" applyNumberFormat="1" applyFill="1" applyBorder="1"/>
    <xf numFmtId="1" fontId="0" fillId="16" borderId="7" xfId="0" applyNumberFormat="1" applyFill="1" applyBorder="1" applyAlignment="1">
      <alignment horizontal="left"/>
    </xf>
    <xf numFmtId="9" fontId="0" fillId="0" borderId="7" xfId="0" applyNumberFormat="1" applyBorder="1" applyAlignment="1">
      <alignment horizontal="center"/>
    </xf>
    <xf numFmtId="1" fontId="0" fillId="16" borderId="14" xfId="0" applyNumberFormat="1" applyFill="1" applyBorder="1"/>
    <xf numFmtId="1" fontId="0" fillId="16" borderId="14" xfId="0" applyNumberFormat="1" applyFill="1" applyBorder="1" applyAlignment="1">
      <alignment horizontal="left"/>
    </xf>
    <xf numFmtId="9" fontId="11" fillId="16" borderId="0" xfId="0" applyNumberFormat="1" applyFont="1" applyFill="1"/>
    <xf numFmtId="1" fontId="0" fillId="16" borderId="0" xfId="0" applyNumberFormat="1" applyFill="1" applyAlignment="1">
      <alignment horizontal="center" wrapText="1"/>
    </xf>
    <xf numFmtId="0" fontId="0" fillId="16" borderId="0" xfId="0" applyFill="1" applyAlignment="1">
      <alignment horizontal="left"/>
    </xf>
    <xf numFmtId="1" fontId="0" fillId="16" borderId="0" xfId="0" applyNumberFormat="1" applyFill="1" applyAlignment="1">
      <alignment horizontal="left" wrapText="1"/>
    </xf>
    <xf numFmtId="0" fontId="0" fillId="16" borderId="0" xfId="0" applyFill="1" applyAlignment="1">
      <alignment vertical="center" wrapText="1"/>
    </xf>
    <xf numFmtId="0" fontId="0" fillId="16" borderId="0" xfId="0" applyFill="1" applyAlignment="1">
      <alignment horizontal="left" vertical="center" wrapText="1"/>
    </xf>
    <xf numFmtId="0" fontId="0" fillId="16" borderId="16" xfId="0" applyFill="1" applyBorder="1" applyAlignment="1">
      <alignment horizontal="left"/>
    </xf>
    <xf numFmtId="1" fontId="0" fillId="19" borderId="16" xfId="0" applyNumberFormat="1" applyFill="1" applyBorder="1" applyAlignment="1">
      <alignment horizontal="center" wrapText="1"/>
    </xf>
    <xf numFmtId="1" fontId="0" fillId="4" borderId="7" xfId="0" applyNumberFormat="1" applyFill="1" applyBorder="1" applyAlignment="1">
      <alignment horizontal="center" wrapText="1"/>
    </xf>
    <xf numFmtId="0" fontId="15" fillId="0" borderId="1" xfId="0" applyFont="1" applyBorder="1"/>
    <xf numFmtId="1" fontId="15" fillId="0" borderId="1" xfId="0" applyNumberFormat="1" applyFont="1" applyBorder="1"/>
    <xf numFmtId="3" fontId="0" fillId="4" borderId="7" xfId="0" applyNumberFormat="1" applyFill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18" fillId="2" borderId="6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 vertical="center"/>
    </xf>
    <xf numFmtId="3" fontId="20" fillId="0" borderId="4" xfId="0" applyNumberFormat="1" applyFont="1" applyBorder="1" applyAlignment="1">
      <alignment horizontal="right" vertical="center"/>
    </xf>
    <xf numFmtId="3" fontId="20" fillId="0" borderId="5" xfId="0" applyNumberFormat="1" applyFont="1" applyBorder="1" applyAlignment="1">
      <alignment horizontal="right" vertical="center"/>
    </xf>
    <xf numFmtId="3" fontId="17" fillId="0" borderId="1" xfId="0" applyNumberFormat="1" applyFont="1" applyBorder="1" applyAlignment="1">
      <alignment horizontal="center" vertical="center"/>
    </xf>
    <xf numFmtId="14" fontId="17" fillId="8" borderId="1" xfId="0" applyNumberFormat="1" applyFont="1" applyFill="1" applyBorder="1" applyAlignment="1">
      <alignment horizontal="center" vertical="center"/>
    </xf>
    <xf numFmtId="3" fontId="17" fillId="16" borderId="1" xfId="0" applyNumberFormat="1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21" fillId="0" borderId="1" xfId="0" applyFont="1" applyBorder="1"/>
    <xf numFmtId="0" fontId="22" fillId="20" borderId="13" xfId="0" applyFont="1" applyFill="1" applyBorder="1"/>
    <xf numFmtId="0" fontId="22" fillId="20" borderId="5" xfId="0" applyFont="1" applyFill="1" applyBorder="1"/>
    <xf numFmtId="0" fontId="22" fillId="20" borderId="1" xfId="0" applyFont="1" applyFill="1" applyBorder="1" applyAlignment="1">
      <alignment horizontal="center"/>
    </xf>
    <xf numFmtId="0" fontId="22" fillId="21" borderId="1" xfId="0" applyFont="1" applyFill="1" applyBorder="1" applyAlignment="1">
      <alignment horizontal="center"/>
    </xf>
    <xf numFmtId="3" fontId="23" fillId="21" borderId="1" xfId="0" applyNumberFormat="1" applyFont="1" applyFill="1" applyBorder="1" applyAlignment="1">
      <alignment horizontal="right"/>
    </xf>
    <xf numFmtId="3" fontId="22" fillId="21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6" fillId="0" borderId="0" xfId="0" applyFont="1"/>
    <xf numFmtId="0" fontId="1" fillId="22" borderId="1" xfId="0" applyFont="1" applyFill="1" applyBorder="1"/>
    <xf numFmtId="0" fontId="0" fillId="1" borderId="1" xfId="0" applyFill="1" applyBorder="1"/>
    <xf numFmtId="0" fontId="0" fillId="0" borderId="2" xfId="0" applyBorder="1"/>
    <xf numFmtId="0" fontId="1" fillId="22" borderId="6" xfId="0" applyFont="1" applyFill="1" applyBorder="1"/>
    <xf numFmtId="0" fontId="0" fillId="1" borderId="6" xfId="0" applyFill="1" applyBorder="1"/>
    <xf numFmtId="0" fontId="1" fillId="22" borderId="28" xfId="0" applyFont="1" applyFill="1" applyBorder="1"/>
    <xf numFmtId="0" fontId="0" fillId="0" borderId="29" xfId="0" applyBorder="1"/>
    <xf numFmtId="0" fontId="0" fillId="0" borderId="30" xfId="0" applyBorder="1"/>
    <xf numFmtId="0" fontId="1" fillId="22" borderId="31" xfId="0" applyFon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2" xfId="0" applyNumberFormat="1" applyBorder="1"/>
    <xf numFmtId="0" fontId="1" fillId="22" borderId="33" xfId="0" applyFont="1" applyFill="1" applyBorder="1"/>
    <xf numFmtId="0" fontId="1" fillId="22" borderId="34" xfId="0" applyFont="1" applyFill="1" applyBorder="1"/>
    <xf numFmtId="1" fontId="0" fillId="0" borderId="35" xfId="0" applyNumberFormat="1" applyBorder="1"/>
    <xf numFmtId="1" fontId="0" fillId="0" borderId="36" xfId="0" applyNumberFormat="1" applyBorder="1"/>
    <xf numFmtId="1" fontId="0" fillId="0" borderId="37" xfId="0" applyNumberFormat="1" applyBorder="1"/>
    <xf numFmtId="0" fontId="25" fillId="0" borderId="0" xfId="0" applyFont="1"/>
    <xf numFmtId="0" fontId="27" fillId="0" borderId="0" xfId="0" applyFont="1" applyAlignment="1">
      <alignment horizontal="center"/>
    </xf>
    <xf numFmtId="0" fontId="0" fillId="1" borderId="0" xfId="0" applyFill="1"/>
    <xf numFmtId="0" fontId="26" fillId="22" borderId="38" xfId="0" applyFont="1" applyFill="1" applyBorder="1"/>
    <xf numFmtId="2" fontId="25" fillId="0" borderId="39" xfId="0" applyNumberFormat="1" applyFont="1" applyBorder="1"/>
    <xf numFmtId="2" fontId="25" fillId="0" borderId="41" xfId="0" applyNumberFormat="1" applyFont="1" applyBorder="1"/>
    <xf numFmtId="2" fontId="25" fillId="0" borderId="41" xfId="1" applyNumberFormat="1" applyFont="1" applyBorder="1"/>
    <xf numFmtId="2" fontId="25" fillId="0" borderId="40" xfId="1" applyNumberFormat="1" applyFont="1" applyBorder="1"/>
    <xf numFmtId="1" fontId="0" fillId="16" borderId="7" xfId="0" applyNumberFormat="1" applyFill="1" applyBorder="1" applyAlignment="1">
      <alignment horizontal="left" wrapText="1"/>
    </xf>
    <xf numFmtId="0" fontId="0" fillId="16" borderId="7" xfId="0" applyFill="1" applyBorder="1" applyAlignment="1">
      <alignment horizontal="left"/>
    </xf>
    <xf numFmtId="1" fontId="0" fillId="16" borderId="7" xfId="0" applyNumberFormat="1" applyFill="1" applyBorder="1" applyAlignment="1">
      <alignment horizontal="center" wrapText="1"/>
    </xf>
    <xf numFmtId="2" fontId="0" fillId="16" borderId="7" xfId="0" applyNumberFormat="1" applyFill="1" applyBorder="1" applyAlignment="1">
      <alignment horizontal="center" wrapText="1"/>
    </xf>
    <xf numFmtId="1" fontId="0" fillId="16" borderId="22" xfId="0" applyNumberFormat="1" applyFill="1" applyBorder="1" applyAlignment="1">
      <alignment horizontal="center" wrapText="1"/>
    </xf>
    <xf numFmtId="2" fontId="0" fillId="16" borderId="22" xfId="0" applyNumberFormat="1" applyFill="1" applyBorder="1" applyAlignment="1">
      <alignment horizontal="center" wrapText="1"/>
    </xf>
    <xf numFmtId="0" fontId="0" fillId="16" borderId="22" xfId="0" applyFill="1" applyBorder="1" applyAlignment="1">
      <alignment horizontal="left"/>
    </xf>
    <xf numFmtId="1" fontId="0" fillId="16" borderId="22" xfId="0" applyNumberFormat="1" applyFill="1" applyBorder="1" applyAlignment="1">
      <alignment horizontal="left" wrapText="1"/>
    </xf>
    <xf numFmtId="0" fontId="1" fillId="22" borderId="38" xfId="0" applyFont="1" applyFill="1" applyBorder="1"/>
    <xf numFmtId="9" fontId="0" fillId="12" borderId="17" xfId="0" applyNumberFormat="1" applyFill="1" applyBorder="1" applyAlignment="1">
      <alignment horizontal="center"/>
    </xf>
    <xf numFmtId="9" fontId="0" fillId="12" borderId="14" xfId="0" applyNumberFormat="1" applyFill="1" applyBorder="1" applyAlignment="1">
      <alignment horizontal="center"/>
    </xf>
    <xf numFmtId="1" fontId="0" fillId="12" borderId="22" xfId="0" applyNumberFormat="1" applyFill="1" applyBorder="1" applyAlignment="1">
      <alignment horizontal="center" wrapText="1"/>
    </xf>
    <xf numFmtId="0" fontId="33" fillId="24" borderId="1" xfId="10" applyFont="1" applyFill="1" applyBorder="1" applyAlignment="1">
      <alignment horizontal="center" vertical="center" wrapText="1"/>
    </xf>
    <xf numFmtId="0" fontId="36" fillId="0" borderId="1" xfId="10" applyBorder="1"/>
    <xf numFmtId="0" fontId="28" fillId="0" borderId="0" xfId="4"/>
    <xf numFmtId="0" fontId="15" fillId="16" borderId="0" xfId="3" applyFill="1" applyAlignment="1">
      <alignment vertical="center"/>
    </xf>
    <xf numFmtId="0" fontId="15" fillId="16" borderId="0" xfId="3" applyFill="1" applyAlignment="1">
      <alignment vertical="center" wrapText="1"/>
    </xf>
    <xf numFmtId="0" fontId="15" fillId="16" borderId="0" xfId="3" applyFill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 wrapText="1"/>
    </xf>
    <xf numFmtId="0" fontId="29" fillId="22" borderId="1" xfId="3" applyFont="1" applyFill="1" applyBorder="1" applyAlignment="1">
      <alignment horizontal="center" vertical="center"/>
    </xf>
    <xf numFmtId="0" fontId="29" fillId="22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/>
    </xf>
    <xf numFmtId="0" fontId="30" fillId="0" borderId="1" xfId="3" applyFont="1" applyBorder="1" applyAlignment="1">
      <alignment horizontal="left" vertical="center" wrapText="1"/>
    </xf>
    <xf numFmtId="0" fontId="30" fillId="0" borderId="1" xfId="3" applyFont="1" applyBorder="1" applyAlignment="1">
      <alignment horizontal="center" vertical="center" wrapText="1"/>
    </xf>
    <xf numFmtId="0" fontId="30" fillId="0" borderId="1" xfId="3" applyFont="1" applyBorder="1" applyAlignment="1">
      <alignment vertical="center" wrapText="1"/>
    </xf>
    <xf numFmtId="0" fontId="30" fillId="0" borderId="1" xfId="3" applyFont="1" applyBorder="1" applyAlignment="1">
      <alignment horizontal="right" vertical="center" wrapText="1"/>
    </xf>
    <xf numFmtId="0" fontId="32" fillId="0" borderId="1" xfId="3" applyFont="1" applyBorder="1" applyAlignment="1">
      <alignment horizontal="center" vertical="center"/>
    </xf>
    <xf numFmtId="0" fontId="31" fillId="16" borderId="1" xfId="3" applyFont="1" applyFill="1" applyBorder="1" applyAlignment="1">
      <alignment horizontal="center" vertical="center"/>
    </xf>
    <xf numFmtId="0" fontId="30" fillId="25" borderId="1" xfId="3" applyFont="1" applyFill="1" applyBorder="1" applyAlignment="1">
      <alignment horizontal="center" vertical="center"/>
    </xf>
    <xf numFmtId="0" fontId="30" fillId="25" borderId="1" xfId="3" applyFont="1" applyFill="1" applyBorder="1" applyAlignment="1">
      <alignment horizontal="center" vertical="center" wrapText="1"/>
    </xf>
    <xf numFmtId="0" fontId="38" fillId="0" borderId="0" xfId="0" applyFont="1"/>
    <xf numFmtId="0" fontId="40" fillId="0" borderId="0" xfId="4" applyFont="1"/>
    <xf numFmtId="0" fontId="39" fillId="0" borderId="0" xfId="0" applyFont="1"/>
    <xf numFmtId="0" fontId="41" fillId="0" borderId="0" xfId="0" applyFont="1"/>
    <xf numFmtId="0" fontId="41" fillId="0" borderId="0" xfId="0" applyFont="1" applyAlignment="1">
      <alignment horizontal="center" vertical="center" wrapText="1"/>
    </xf>
    <xf numFmtId="0" fontId="39" fillId="0" borderId="1" xfId="0" applyFont="1" applyBorder="1"/>
    <xf numFmtId="0" fontId="39" fillId="0" borderId="0" xfId="0" applyFont="1" applyAlignment="1">
      <alignment horizontal="center"/>
    </xf>
    <xf numFmtId="167" fontId="39" fillId="0" borderId="0" xfId="0" applyNumberFormat="1" applyFont="1"/>
    <xf numFmtId="0" fontId="43" fillId="0" borderId="0" xfId="0" applyFont="1" applyAlignment="1">
      <alignment horizontal="center"/>
    </xf>
    <xf numFmtId="167" fontId="44" fillId="0" borderId="0" xfId="0" applyNumberFormat="1" applyFont="1"/>
    <xf numFmtId="164" fontId="45" fillId="0" borderId="1" xfId="0" applyNumberFormat="1" applyFont="1" applyBorder="1"/>
    <xf numFmtId="0" fontId="45" fillId="0" borderId="1" xfId="0" applyFont="1" applyBorder="1"/>
    <xf numFmtId="168" fontId="45" fillId="5" borderId="1" xfId="0" applyNumberFormat="1" applyFont="1" applyFill="1" applyBorder="1"/>
    <xf numFmtId="0" fontId="45" fillId="8" borderId="1" xfId="0" applyFont="1" applyFill="1" applyBorder="1"/>
    <xf numFmtId="1" fontId="39" fillId="0" borderId="1" xfId="0" applyNumberFormat="1" applyFont="1" applyBorder="1"/>
    <xf numFmtId="1" fontId="45" fillId="0" borderId="1" xfId="0" applyNumberFormat="1" applyFont="1" applyBorder="1"/>
    <xf numFmtId="167" fontId="35" fillId="0" borderId="0" xfId="0" applyNumberFormat="1" applyFont="1"/>
    <xf numFmtId="0" fontId="45" fillId="0" borderId="0" xfId="0" applyFont="1"/>
    <xf numFmtId="2" fontId="45" fillId="0" borderId="1" xfId="0" applyNumberFormat="1" applyFont="1" applyBorder="1"/>
    <xf numFmtId="0" fontId="46" fillId="0" borderId="0" xfId="0" applyFont="1" applyAlignment="1">
      <alignment horizontal="left" vertical="center" indent="1"/>
    </xf>
    <xf numFmtId="0" fontId="47" fillId="0" borderId="1" xfId="0" applyFont="1" applyBorder="1"/>
    <xf numFmtId="10" fontId="39" fillId="0" borderId="1" xfId="0" applyNumberFormat="1" applyFont="1" applyBorder="1"/>
    <xf numFmtId="10" fontId="45" fillId="0" borderId="1" xfId="0" applyNumberFormat="1" applyFont="1" applyBorder="1"/>
    <xf numFmtId="0" fontId="47" fillId="0" borderId="0" xfId="0" applyFont="1"/>
    <xf numFmtId="10" fontId="39" fillId="0" borderId="0" xfId="0" applyNumberFormat="1" applyFont="1"/>
    <xf numFmtId="10" fontId="45" fillId="0" borderId="0" xfId="0" applyNumberFormat="1" applyFont="1"/>
    <xf numFmtId="0" fontId="48" fillId="0" borderId="0" xfId="0" applyFont="1"/>
    <xf numFmtId="0" fontId="34" fillId="0" borderId="2" xfId="8" applyFont="1" applyBorder="1" applyAlignment="1">
      <alignment horizontal="center" vertical="center" wrapText="1"/>
    </xf>
    <xf numFmtId="49" fontId="40" fillId="0" borderId="13" xfId="8" applyNumberFormat="1" applyFont="1" applyBorder="1" applyAlignment="1">
      <alignment horizontal="left"/>
    </xf>
    <xf numFmtId="0" fontId="34" fillId="0" borderId="5" xfId="8" applyFont="1" applyBorder="1" applyAlignment="1">
      <alignment horizontal="center" vertical="center" wrapText="1"/>
    </xf>
    <xf numFmtId="10" fontId="40" fillId="0" borderId="5" xfId="8" applyNumberFormat="1" applyFont="1" applyBorder="1" applyAlignment="1">
      <alignment horizontal="center"/>
    </xf>
    <xf numFmtId="10" fontId="40" fillId="0" borderId="5" xfId="8" applyNumberFormat="1" applyFont="1" applyBorder="1" applyAlignment="1">
      <alignment horizontal="right"/>
    </xf>
    <xf numFmtId="0" fontId="34" fillId="0" borderId="4" xfId="8" applyFont="1" applyBorder="1" applyAlignment="1">
      <alignment horizontal="center" vertical="center" wrapText="1"/>
    </xf>
    <xf numFmtId="49" fontId="40" fillId="0" borderId="4" xfId="8" applyNumberFormat="1" applyFont="1" applyBorder="1" applyAlignment="1">
      <alignment horizontal="left"/>
    </xf>
    <xf numFmtId="49" fontId="40" fillId="0" borderId="4" xfId="8" applyNumberFormat="1" applyFont="1" applyBorder="1" applyAlignment="1">
      <alignment horizontal="center"/>
    </xf>
    <xf numFmtId="14" fontId="17" fillId="0" borderId="2" xfId="8" applyNumberFormat="1" applyFont="1" applyBorder="1" applyAlignment="1">
      <alignment horizontal="center"/>
    </xf>
    <xf numFmtId="14" fontId="51" fillId="0" borderId="2" xfId="8" applyNumberFormat="1" applyFont="1" applyBorder="1" applyAlignment="1">
      <alignment horizontal="center"/>
    </xf>
    <xf numFmtId="14" fontId="40" fillId="0" borderId="2" xfId="8" applyNumberFormat="1" applyFont="1" applyBorder="1" applyAlignment="1">
      <alignment horizontal="center"/>
    </xf>
    <xf numFmtId="14" fontId="40" fillId="0" borderId="2" xfId="8" applyNumberFormat="1" applyFont="1" applyBorder="1" applyAlignment="1">
      <alignment horizontal="right"/>
    </xf>
    <xf numFmtId="14" fontId="40" fillId="0" borderId="5" xfId="8" applyNumberFormat="1" applyFont="1" applyBorder="1" applyAlignment="1">
      <alignment horizontal="center"/>
    </xf>
    <xf numFmtId="14" fontId="40" fillId="0" borderId="5" xfId="8" applyNumberFormat="1" applyFont="1" applyBorder="1" applyAlignment="1">
      <alignment horizontal="right"/>
    </xf>
    <xf numFmtId="14" fontId="40" fillId="0" borderId="4" xfId="8" applyNumberFormat="1" applyFont="1" applyBorder="1" applyAlignment="1">
      <alignment horizontal="center"/>
    </xf>
    <xf numFmtId="14" fontId="52" fillId="0" borderId="4" xfId="8" applyNumberFormat="1" applyFont="1" applyBorder="1" applyAlignment="1">
      <alignment horizontal="center"/>
    </xf>
    <xf numFmtId="14" fontId="40" fillId="0" borderId="4" xfId="8" applyNumberFormat="1" applyFont="1" applyBorder="1" applyAlignment="1">
      <alignment horizontal="right"/>
    </xf>
    <xf numFmtId="14" fontId="52" fillId="0" borderId="46" xfId="8" applyNumberFormat="1" applyFont="1" applyBorder="1" applyAlignment="1">
      <alignment horizontal="center"/>
    </xf>
    <xf numFmtId="14" fontId="52" fillId="0" borderId="5" xfId="8" applyNumberFormat="1" applyFont="1" applyBorder="1" applyAlignment="1">
      <alignment horizontal="center"/>
    </xf>
    <xf numFmtId="14" fontId="17" fillId="8" borderId="2" xfId="8" applyNumberFormat="1" applyFont="1" applyFill="1" applyBorder="1" applyAlignment="1">
      <alignment horizontal="center"/>
    </xf>
    <xf numFmtId="14" fontId="40" fillId="8" borderId="4" xfId="8" applyNumberFormat="1" applyFont="1" applyFill="1" applyBorder="1" applyAlignment="1">
      <alignment horizontal="center"/>
    </xf>
    <xf numFmtId="14" fontId="40" fillId="8" borderId="5" xfId="8" applyNumberFormat="1" applyFont="1" applyFill="1" applyBorder="1" applyAlignment="1">
      <alignment horizontal="center"/>
    </xf>
    <xf numFmtId="14" fontId="17" fillId="0" borderId="46" xfId="8" applyNumberFormat="1" applyFont="1" applyBorder="1" applyAlignment="1">
      <alignment horizontal="center"/>
    </xf>
    <xf numFmtId="0" fontId="42" fillId="2" borderId="2" xfId="8" applyFont="1" applyFill="1" applyBorder="1" applyAlignment="1">
      <alignment horizontal="centerContinuous" vertical="center"/>
    </xf>
    <xf numFmtId="0" fontId="42" fillId="2" borderId="13" xfId="8" applyFont="1" applyFill="1" applyBorder="1" applyAlignment="1">
      <alignment horizontal="centerContinuous" vertical="center"/>
    </xf>
    <xf numFmtId="0" fontId="42" fillId="2" borderId="2" xfId="0" applyFont="1" applyFill="1" applyBorder="1" applyAlignment="1">
      <alignment horizontal="centerContinuous" vertical="center"/>
    </xf>
    <xf numFmtId="0" fontId="42" fillId="2" borderId="13" xfId="0" applyFont="1" applyFill="1" applyBorder="1" applyAlignment="1">
      <alignment horizontal="centerContinuous" vertical="center"/>
    </xf>
    <xf numFmtId="0" fontId="42" fillId="2" borderId="5" xfId="0" applyFont="1" applyFill="1" applyBorder="1" applyAlignment="1">
      <alignment horizontal="centerContinuous" vertical="center"/>
    </xf>
    <xf numFmtId="0" fontId="42" fillId="26" borderId="2" xfId="0" applyFont="1" applyFill="1" applyBorder="1" applyAlignment="1">
      <alignment horizontal="centerContinuous" vertical="center"/>
    </xf>
    <xf numFmtId="0" fontId="42" fillId="26" borderId="13" xfId="0" applyFont="1" applyFill="1" applyBorder="1" applyAlignment="1">
      <alignment horizontal="centerContinuous" vertical="center"/>
    </xf>
    <xf numFmtId="0" fontId="42" fillId="26" borderId="5" xfId="0" applyFont="1" applyFill="1" applyBorder="1" applyAlignment="1">
      <alignment horizontal="centerContinuous" vertical="center"/>
    </xf>
    <xf numFmtId="0" fontId="0" fillId="0" borderId="0" xfId="0" applyAlignment="1">
      <alignment horizontal="left" vertical="center"/>
    </xf>
    <xf numFmtId="14" fontId="17" fillId="0" borderId="1" xfId="0" applyNumberFormat="1" applyFont="1" applyBorder="1" applyAlignment="1">
      <alignment horizontal="left"/>
    </xf>
    <xf numFmtId="43" fontId="0" fillId="0" borderId="7" xfId="1" applyFont="1" applyBorder="1"/>
    <xf numFmtId="43" fontId="0" fillId="0" borderId="1" xfId="1" applyFont="1" applyBorder="1"/>
    <xf numFmtId="43" fontId="0" fillId="0" borderId="42" xfId="1" applyFont="1" applyBorder="1"/>
    <xf numFmtId="43" fontId="0" fillId="0" borderId="41" xfId="1" applyFont="1" applyBorder="1"/>
    <xf numFmtId="43" fontId="0" fillId="0" borderId="40" xfId="1" applyFont="1" applyBorder="1"/>
    <xf numFmtId="10" fontId="0" fillId="11" borderId="22" xfId="0" applyNumberFormat="1" applyFill="1" applyBorder="1" applyAlignment="1">
      <alignment horizontal="center" wrapText="1"/>
    </xf>
    <xf numFmtId="0" fontId="1" fillId="27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9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54" fillId="0" borderId="6" xfId="0" applyFont="1" applyBorder="1" applyAlignment="1">
      <alignment horizontal="left"/>
    </xf>
    <xf numFmtId="2" fontId="0" fillId="16" borderId="14" xfId="0" applyNumberFormat="1" applyFill="1" applyBorder="1" applyAlignment="1">
      <alignment horizontal="center" wrapText="1"/>
    </xf>
    <xf numFmtId="1" fontId="0" fillId="16" borderId="14" xfId="0" applyNumberFormat="1" applyFill="1" applyBorder="1" applyAlignment="1">
      <alignment horizontal="left" wrapText="1"/>
    </xf>
    <xf numFmtId="1" fontId="0" fillId="12" borderId="14" xfId="0" applyNumberFormat="1" applyFill="1" applyBorder="1" applyAlignment="1">
      <alignment horizontal="center" wrapText="1"/>
    </xf>
    <xf numFmtId="9" fontId="7" fillId="3" borderId="17" xfId="0" applyNumberFormat="1" applyFont="1" applyFill="1" applyBorder="1" applyAlignment="1">
      <alignment horizontal="center" wrapText="1"/>
    </xf>
    <xf numFmtId="0" fontId="0" fillId="16" borderId="22" xfId="0" applyFill="1" applyBorder="1"/>
    <xf numFmtId="0" fontId="0" fillId="16" borderId="14" xfId="0" applyFill="1" applyBorder="1"/>
    <xf numFmtId="0" fontId="0" fillId="16" borderId="17" xfId="0" applyFill="1" applyBorder="1"/>
    <xf numFmtId="0" fontId="0" fillId="16" borderId="16" xfId="0" applyFill="1" applyBorder="1"/>
    <xf numFmtId="0" fontId="0" fillId="16" borderId="21" xfId="0" applyFill="1" applyBorder="1"/>
    <xf numFmtId="0" fontId="1" fillId="18" borderId="1" xfId="0" applyFont="1" applyFill="1" applyBorder="1" applyAlignment="1">
      <alignment horizontal="centerContinuous" vertical="center" wrapText="1"/>
    </xf>
    <xf numFmtId="0" fontId="1" fillId="18" borderId="0" xfId="0" applyFont="1" applyFill="1" applyAlignment="1">
      <alignment horizontal="centerContinuous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Continuous" vertical="center" wrapText="1"/>
    </xf>
    <xf numFmtId="0" fontId="1" fillId="2" borderId="1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4" fontId="1" fillId="2" borderId="13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/>
    <xf numFmtId="0" fontId="1" fillId="2" borderId="8" xfId="0" applyFont="1" applyFill="1" applyBorder="1"/>
    <xf numFmtId="1" fontId="0" fillId="3" borderId="16" xfId="0" applyNumberFormat="1" applyFill="1" applyBorder="1" applyAlignment="1">
      <alignment horizontal="center" wrapText="1"/>
    </xf>
    <xf numFmtId="14" fontId="51" fillId="0" borderId="4" xfId="8" applyNumberFormat="1" applyFont="1" applyBorder="1" applyAlignment="1">
      <alignment horizontal="center"/>
    </xf>
    <xf numFmtId="0" fontId="39" fillId="17" borderId="1" xfId="0" applyFont="1" applyFill="1" applyBorder="1"/>
    <xf numFmtId="10" fontId="39" fillId="17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28" borderId="17" xfId="0" applyFont="1" applyFill="1" applyBorder="1" applyAlignment="1">
      <alignment horizontal="left"/>
    </xf>
    <xf numFmtId="9" fontId="7" fillId="0" borderId="17" xfId="0" applyNumberFormat="1" applyFont="1" applyBorder="1" applyAlignment="1">
      <alignment horizontal="left"/>
    </xf>
    <xf numFmtId="2" fontId="0" fillId="28" borderId="17" xfId="0" applyNumberFormat="1" applyFill="1" applyBorder="1" applyAlignment="1">
      <alignment horizontal="center" wrapText="1"/>
    </xf>
    <xf numFmtId="1" fontId="0" fillId="28" borderId="16" xfId="0" applyNumberFormat="1" applyFill="1" applyBorder="1" applyAlignment="1">
      <alignment horizontal="center" wrapText="1"/>
    </xf>
    <xf numFmtId="1" fontId="0" fillId="17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13" borderId="1" xfId="0" applyFill="1" applyBorder="1" applyAlignment="1">
      <alignment horizontal="center"/>
    </xf>
    <xf numFmtId="14" fontId="0" fillId="26" borderId="1" xfId="0" applyNumberFormat="1" applyFill="1" applyBorder="1" applyAlignment="1">
      <alignment horizontal="right"/>
    </xf>
    <xf numFmtId="0" fontId="0" fillId="26" borderId="1" xfId="0" applyFill="1" applyBorder="1" applyAlignment="1">
      <alignment horizontal="right"/>
    </xf>
    <xf numFmtId="0" fontId="0" fillId="26" borderId="1" xfId="0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0" fillId="16" borderId="1" xfId="0" applyFill="1" applyBorder="1" applyAlignment="1">
      <alignment horizontal="centerContinuous" vertical="center"/>
    </xf>
    <xf numFmtId="0" fontId="0" fillId="16" borderId="13" xfId="0" applyFill="1" applyBorder="1" applyAlignment="1">
      <alignment horizontal="centerContinuous"/>
    </xf>
    <xf numFmtId="0" fontId="0" fillId="16" borderId="5" xfId="0" applyFill="1" applyBorder="1" applyAlignment="1">
      <alignment horizontal="centerContinuous"/>
    </xf>
    <xf numFmtId="0" fontId="0" fillId="0" borderId="3" xfId="0" applyBorder="1"/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center"/>
    </xf>
    <xf numFmtId="14" fontId="7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14" fontId="7" fillId="0" borderId="14" xfId="0" applyNumberFormat="1" applyFont="1" applyBorder="1" applyAlignment="1">
      <alignment horizontal="right"/>
    </xf>
    <xf numFmtId="0" fontId="7" fillId="5" borderId="14" xfId="0" applyFont="1" applyFill="1" applyBorder="1" applyAlignment="1">
      <alignment horizontal="center"/>
    </xf>
    <xf numFmtId="14" fontId="7" fillId="0" borderId="6" xfId="0" applyNumberFormat="1" applyFont="1" applyBorder="1" applyAlignment="1">
      <alignment horizontal="right"/>
    </xf>
    <xf numFmtId="0" fontId="7" fillId="0" borderId="6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7" fillId="0" borderId="16" xfId="0" applyFont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14" fontId="7" fillId="16" borderId="0" xfId="0" applyNumberFormat="1" applyFont="1" applyFill="1" applyAlignment="1">
      <alignment horizontal="right"/>
    </xf>
    <xf numFmtId="0" fontId="7" fillId="16" borderId="0" xfId="0" applyFont="1" applyFill="1" applyAlignment="1">
      <alignment horizontal="center"/>
    </xf>
    <xf numFmtId="0" fontId="0" fillId="16" borderId="0" xfId="0" applyFill="1" applyAlignment="1">
      <alignment horizontal="right"/>
    </xf>
    <xf numFmtId="0" fontId="0" fillId="16" borderId="0" xfId="0" applyFill="1" applyAlignment="1">
      <alignment horizontal="center" vertical="center" wrapText="1"/>
    </xf>
    <xf numFmtId="0" fontId="0" fillId="16" borderId="12" xfId="0" applyFill="1" applyBorder="1"/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2" fontId="0" fillId="16" borderId="3" xfId="0" applyNumberFormat="1" applyFill="1" applyBorder="1" applyAlignment="1">
      <alignment horizontal="center" wrapText="1"/>
    </xf>
    <xf numFmtId="1" fontId="0" fillId="16" borderId="3" xfId="0" applyNumberFormat="1" applyFill="1" applyBorder="1" applyAlignment="1">
      <alignment horizontal="left" wrapText="1"/>
    </xf>
    <xf numFmtId="1" fontId="0" fillId="12" borderId="3" xfId="0" applyNumberFormat="1" applyFill="1" applyBorder="1" applyAlignment="1">
      <alignment horizontal="center" wrapText="1"/>
    </xf>
    <xf numFmtId="1" fontId="0" fillId="8" borderId="3" xfId="0" applyNumberFormat="1" applyFill="1" applyBorder="1" applyAlignment="1">
      <alignment horizontal="center" wrapText="1"/>
    </xf>
    <xf numFmtId="10" fontId="0" fillId="0" borderId="0" xfId="0" applyNumberFormat="1" applyAlignment="1">
      <alignment horizontal="center"/>
    </xf>
    <xf numFmtId="166" fontId="0" fillId="16" borderId="6" xfId="0" applyNumberFormat="1" applyFill="1" applyBorder="1" applyAlignment="1">
      <alignment horizontal="center" wrapText="1"/>
    </xf>
    <xf numFmtId="9" fontId="0" fillId="16" borderId="17" xfId="0" applyNumberFormat="1" applyFill="1" applyBorder="1" applyAlignment="1">
      <alignment horizontal="center" vertical="center" wrapText="1"/>
    </xf>
    <xf numFmtId="3" fontId="0" fillId="16" borderId="6" xfId="0" applyNumberFormat="1" applyFill="1" applyBorder="1" applyAlignment="1">
      <alignment horizontal="center" wrapText="1"/>
    </xf>
    <xf numFmtId="9" fontId="0" fillId="16" borderId="6" xfId="0" applyNumberFormat="1" applyFill="1" applyBorder="1" applyAlignment="1">
      <alignment horizontal="center"/>
    </xf>
    <xf numFmtId="9" fontId="0" fillId="16" borderId="6" xfId="0" applyNumberFormat="1" applyFill="1" applyBorder="1" applyAlignment="1">
      <alignment horizontal="center" wrapText="1"/>
    </xf>
    <xf numFmtId="1" fontId="7" fillId="16" borderId="14" xfId="0" applyNumberFormat="1" applyFont="1" applyFill="1" applyBorder="1" applyAlignment="1">
      <alignment horizontal="center" wrapText="1"/>
    </xf>
    <xf numFmtId="9" fontId="7" fillId="16" borderId="17" xfId="0" applyNumberFormat="1" applyFont="1" applyFill="1" applyBorder="1" applyAlignment="1">
      <alignment horizontal="center" wrapText="1"/>
    </xf>
    <xf numFmtId="9" fontId="0" fillId="16" borderId="22" xfId="0" applyNumberFormat="1" applyFill="1" applyBorder="1" applyAlignment="1">
      <alignment horizontal="center" wrapText="1"/>
    </xf>
    <xf numFmtId="14" fontId="52" fillId="0" borderId="2" xfId="8" applyNumberFormat="1" applyFont="1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10" fillId="15" borderId="1" xfId="0" applyFont="1" applyFill="1" applyBorder="1" applyAlignment="1">
      <alignment vertical="top" wrapText="1"/>
    </xf>
    <xf numFmtId="0" fontId="10" fillId="15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top" wrapText="1"/>
    </xf>
    <xf numFmtId="4" fontId="0" fillId="0" borderId="0" xfId="0" applyNumberFormat="1"/>
    <xf numFmtId="0" fontId="17" fillId="28" borderId="1" xfId="0" applyFont="1" applyFill="1" applyBorder="1"/>
    <xf numFmtId="14" fontId="17" fillId="28" borderId="1" xfId="0" applyNumberFormat="1" applyFont="1" applyFill="1" applyBorder="1" applyAlignment="1">
      <alignment horizontal="center"/>
    </xf>
    <xf numFmtId="14" fontId="17" fillId="28" borderId="1" xfId="0" applyNumberFormat="1" applyFont="1" applyFill="1" applyBorder="1" applyAlignment="1">
      <alignment horizontal="left"/>
    </xf>
    <xf numFmtId="1" fontId="17" fillId="28" borderId="1" xfId="0" applyNumberFormat="1" applyFont="1" applyFill="1" applyBorder="1" applyAlignment="1">
      <alignment horizontal="center"/>
    </xf>
    <xf numFmtId="0" fontId="17" fillId="28" borderId="1" xfId="0" applyFont="1" applyFill="1" applyBorder="1" applyAlignment="1">
      <alignment horizontal="center" vertical="center"/>
    </xf>
    <xf numFmtId="3" fontId="20" fillId="28" borderId="2" xfId="0" applyNumberFormat="1" applyFont="1" applyFill="1" applyBorder="1" applyAlignment="1">
      <alignment horizontal="right" vertical="center"/>
    </xf>
    <xf numFmtId="3" fontId="20" fillId="28" borderId="4" xfId="0" applyNumberFormat="1" applyFont="1" applyFill="1" applyBorder="1" applyAlignment="1">
      <alignment horizontal="right" vertical="center"/>
    </xf>
    <xf numFmtId="3" fontId="20" fillId="28" borderId="5" xfId="0" applyNumberFormat="1" applyFont="1" applyFill="1" applyBorder="1" applyAlignment="1">
      <alignment horizontal="right" vertical="center"/>
    </xf>
    <xf numFmtId="3" fontId="17" fillId="28" borderId="1" xfId="0" applyNumberFormat="1" applyFont="1" applyFill="1" applyBorder="1" applyAlignment="1">
      <alignment horizontal="center" vertical="center"/>
    </xf>
    <xf numFmtId="14" fontId="17" fillId="28" borderId="1" xfId="0" applyNumberFormat="1" applyFont="1" applyFill="1" applyBorder="1" applyAlignment="1">
      <alignment horizontal="center" vertical="center"/>
    </xf>
    <xf numFmtId="14" fontId="17" fillId="29" borderId="1" xfId="0" applyNumberFormat="1" applyFont="1" applyFill="1" applyBorder="1" applyAlignment="1">
      <alignment horizontal="center" vertical="center"/>
    </xf>
    <xf numFmtId="9" fontId="0" fillId="28" borderId="14" xfId="0" applyNumberFormat="1" applyFill="1" applyBorder="1" applyAlignment="1">
      <alignment horizontal="center"/>
    </xf>
    <xf numFmtId="9" fontId="0" fillId="28" borderId="22" xfId="0" applyNumberFormat="1" applyFill="1" applyBorder="1" applyAlignment="1">
      <alignment horizontal="center" wrapText="1"/>
    </xf>
    <xf numFmtId="9" fontId="0" fillId="28" borderId="14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0" fillId="0" borderId="9" xfId="0" applyFont="1" applyBorder="1" applyAlignment="1">
      <alignment horizontal="center" vertical="center"/>
    </xf>
    <xf numFmtId="0" fontId="50" fillId="0" borderId="19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10" fillId="14" borderId="2" xfId="0" applyFont="1" applyFill="1" applyBorder="1" applyAlignment="1">
      <alignment vertical="top" wrapText="1"/>
    </xf>
    <xf numFmtId="0" fontId="10" fillId="14" borderId="47" xfId="0" applyFont="1" applyFill="1" applyBorder="1" applyAlignment="1">
      <alignment vertical="top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1" fillId="18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7" fillId="16" borderId="0" xfId="3" applyFont="1" applyFill="1" applyAlignment="1">
      <alignment horizontal="left" vertical="center"/>
    </xf>
    <xf numFmtId="0" fontId="1" fillId="23" borderId="43" xfId="3" applyFont="1" applyFill="1" applyBorder="1" applyAlignment="1">
      <alignment horizontal="center" vertical="center"/>
    </xf>
    <xf numFmtId="0" fontId="1" fillId="23" borderId="44" xfId="3" applyFont="1" applyFill="1" applyBorder="1" applyAlignment="1">
      <alignment horizontal="center" vertical="center"/>
    </xf>
    <xf numFmtId="0" fontId="1" fillId="23" borderId="45" xfId="3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49" fillId="0" borderId="9" xfId="0" applyFont="1" applyBorder="1" applyAlignment="1">
      <alignment horizontal="center" vertical="center"/>
    </xf>
    <xf numFmtId="0" fontId="49" fillId="0" borderId="1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4" fontId="15" fillId="0" borderId="24" xfId="0" applyNumberFormat="1" applyFont="1" applyBorder="1" applyAlignment="1">
      <alignment horizontal="right"/>
    </xf>
    <xf numFmtId="4" fontId="10" fillId="14" borderId="24" xfId="0" applyNumberFormat="1" applyFont="1" applyFill="1" applyBorder="1" applyAlignment="1">
      <alignment horizontal="right"/>
    </xf>
  </cellXfs>
  <cellStyles count="12">
    <cellStyle name="Milliers" xfId="1" builtinId="3"/>
    <cellStyle name="Milliers 2" xfId="5" xr:uid="{A1AE39A6-545D-4AEE-96A1-5F7694912B9F}"/>
    <cellStyle name="Monétaire 2" xfId="6" xr:uid="{04A6F522-8BC6-4417-965B-65FBF5B076E6}"/>
    <cellStyle name="Normal" xfId="0" builtinId="0"/>
    <cellStyle name="Normal 2" xfId="3" xr:uid="{6B8993AD-5E1B-4916-8B0F-6504968D104E}"/>
    <cellStyle name="Normal 3" xfId="4" xr:uid="{B74F1120-56CA-40EF-95EF-51EE84457A02}"/>
    <cellStyle name="Normal 4" xfId="8" xr:uid="{A6B569D2-3211-4AB7-B70C-E8154C0D7426}"/>
    <cellStyle name="Normal 4 2" xfId="11" xr:uid="{DDE05228-C163-42AA-BACB-4943B0F697C0}"/>
    <cellStyle name="Normal 5" xfId="2" xr:uid="{C00F5ACB-786A-44E3-B2C4-56F74282DFEA}"/>
    <cellStyle name="Normal 6" xfId="10" xr:uid="{E7971D09-4E81-4CAD-BCA8-3D7B9A08D473}"/>
    <cellStyle name="Pourcentage 2" xfId="7" xr:uid="{68A9B0FE-3201-4FB9-A59C-262534B21361}"/>
    <cellStyle name="Pourcentage 3" xfId="9" xr:uid="{CEC23E19-C390-48F6-9A49-FD0FAAC6E694}"/>
  </cellStyles>
  <dxfs count="0"/>
  <tableStyles count="0" defaultTableStyle="TableStyleMedium2" defaultPivotStyle="PivotStyleLight16"/>
  <colors>
    <mruColors>
      <color rgb="FFFC9E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141020</xdr:colOff>
      <xdr:row>0</xdr:row>
      <xdr:rowOff>0</xdr:rowOff>
    </xdr:from>
    <xdr:to>
      <xdr:col>1</xdr:col>
      <xdr:colOff>676647</xdr:colOff>
      <xdr:row>2</xdr:row>
      <xdr:rowOff>138619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F87B47A-763C-4E61-9569-44E721E65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20" y="0"/>
          <a:ext cx="943841" cy="519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109259</xdr:colOff>
      <xdr:row>0</xdr:row>
      <xdr:rowOff>156882</xdr:rowOff>
    </xdr:from>
    <xdr:to>
      <xdr:col>0</xdr:col>
      <xdr:colOff>971281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800FCCB6-1A19-44BA-A11B-EFC42D85A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9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109259</xdr:colOff>
      <xdr:row>0</xdr:row>
      <xdr:rowOff>156882</xdr:rowOff>
    </xdr:from>
    <xdr:to>
      <xdr:col>0</xdr:col>
      <xdr:colOff>971281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45E167B-FFE2-4409-B4FF-FAEACF68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9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75641</xdr:colOff>
      <xdr:row>0</xdr:row>
      <xdr:rowOff>179294</xdr:rowOff>
    </xdr:from>
    <xdr:to>
      <xdr:col>0</xdr:col>
      <xdr:colOff>937663</xdr:colOff>
      <xdr:row>2</xdr:row>
      <xdr:rowOff>100853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6D25E03E-C938-4E3F-B26D-B510BEBA0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41" y="179294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109259</xdr:colOff>
      <xdr:row>0</xdr:row>
      <xdr:rowOff>156882</xdr:rowOff>
    </xdr:from>
    <xdr:to>
      <xdr:col>0</xdr:col>
      <xdr:colOff>971281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28AB7EEF-8218-497A-BF81-A31D3F28B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9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17</xdr:row>
      <xdr:rowOff>156881</xdr:rowOff>
    </xdr:from>
    <xdr:to>
      <xdr:col>9</xdr:col>
      <xdr:colOff>1333499</xdr:colOff>
      <xdr:row>37</xdr:row>
      <xdr:rowOff>22412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8A9A9A4-90AA-8C18-7938-8684D3996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4" t="24404" r="28545" b="39862"/>
        <a:stretch/>
      </xdr:blipFill>
      <xdr:spPr>
        <a:xfrm>
          <a:off x="0" y="6958852"/>
          <a:ext cx="12774705" cy="36755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109259</xdr:colOff>
      <xdr:row>0</xdr:row>
      <xdr:rowOff>156882</xdr:rowOff>
    </xdr:from>
    <xdr:to>
      <xdr:col>0</xdr:col>
      <xdr:colOff>971281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10948205-1C7F-4EC7-BA9C-CA6D6849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9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47625</xdr:rowOff>
    </xdr:from>
    <xdr:to>
      <xdr:col>0</xdr:col>
      <xdr:colOff>1198456</xdr:colOff>
      <xdr:row>2</xdr:row>
      <xdr:rowOff>76200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FC7DE70-8787-4014-9B9B-91032F07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47625"/>
          <a:ext cx="750781" cy="4095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156882</xdr:rowOff>
    </xdr:from>
    <xdr:to>
      <xdr:col>1</xdr:col>
      <xdr:colOff>178463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D28E5B79-686A-4952-BB80-9172654D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109259</xdr:colOff>
      <xdr:row>0</xdr:row>
      <xdr:rowOff>156882</xdr:rowOff>
    </xdr:from>
    <xdr:to>
      <xdr:col>0</xdr:col>
      <xdr:colOff>971281</xdr:colOff>
      <xdr:row>2</xdr:row>
      <xdr:rowOff>78441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D6A1F191-560B-4ED1-A8E9-E3CFD414C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9" y="156882"/>
          <a:ext cx="862022" cy="30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xelle.eluau\Dropbox\3%20-%20Professionnel\2%20-%20SOLLIE%20CONSEIL\2%20-%20Activit&#233;\4%20-%20Suivis%20Clients\Alban\4%20-%20Accompagnement%20ISO\9%20-%20Plan%20d'am&#233;lioration\PSMQSE%20F%2004%20GRPE%20Programme%20d'am&#233;lioration%20GROUPE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lan d'amélioration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ichel Rachedi" id="{9AFA1B3B-3A73-4800-BF57-74348CE110A2}" userId="S-1-5-21-529439640-4269829473-375849147-11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1" dT="2025-11-20T15:03:31.46" personId="{9AFA1B3B-3A73-4800-BF57-74348CE110A2}" id="{8ADEE1F3-640E-4393-8286-50C3A7FF5382}">
    <text>Pas encore mis en place</text>
  </threadedComment>
  <threadedComment ref="O31" dT="2025-11-20T15:03:31.46" personId="{9AFA1B3B-3A73-4800-BF57-74348CE110A2}" id="{A125F35E-ADDD-449C-AB27-49A972F7EB88}">
    <text>Pas encore mis en place</text>
  </threadedComment>
  <threadedComment ref="P31" dT="2025-11-20T15:03:31.46" personId="{9AFA1B3B-3A73-4800-BF57-74348CE110A2}" id="{4C460987-FE3D-4901-BB5F-DB51D3A70A20}">
    <text>Pas encore mis en place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37B3-6202-48BA-924A-A41996A464F3}">
  <sheetPr>
    <tabColor theme="0"/>
    <pageSetUpPr fitToPage="1"/>
  </sheetPr>
  <dimension ref="A1:N1441"/>
  <sheetViews>
    <sheetView showGridLines="0" topLeftCell="A3" zoomScale="85" zoomScaleNormal="85" workbookViewId="0">
      <selection activeCell="F26" sqref="F26"/>
    </sheetView>
  </sheetViews>
  <sheetFormatPr defaultColWidth="11.42578125" defaultRowHeight="15" outlineLevelRow="1"/>
  <cols>
    <col min="1" max="1" width="54.28515625" bestFit="1" customWidth="1"/>
    <col min="2" max="2" width="23.28515625" bestFit="1" customWidth="1"/>
    <col min="3" max="16" width="15.7109375" customWidth="1"/>
  </cols>
  <sheetData>
    <row r="1" spans="1:11" ht="26.25">
      <c r="A1" s="110" t="s">
        <v>0</v>
      </c>
    </row>
    <row r="3" spans="1:11">
      <c r="A3" s="97" t="s">
        <v>1</v>
      </c>
      <c r="B3" s="97"/>
      <c r="C3" s="97"/>
      <c r="D3" s="97"/>
      <c r="E3" s="97"/>
    </row>
    <row r="6" spans="1:11">
      <c r="A6" s="111" t="s">
        <v>2</v>
      </c>
      <c r="B6" s="112"/>
    </row>
    <row r="7" spans="1:11">
      <c r="A7" s="113" t="s">
        <v>3</v>
      </c>
      <c r="B7" s="114" t="s">
        <v>4</v>
      </c>
    </row>
    <row r="8" spans="1:11">
      <c r="A8" s="113" t="s">
        <v>5</v>
      </c>
      <c r="B8" s="114" t="s">
        <v>6</v>
      </c>
    </row>
    <row r="9" spans="1:11">
      <c r="A9" s="113" t="s">
        <v>7</v>
      </c>
      <c r="B9" s="114"/>
    </row>
    <row r="10" spans="1:11">
      <c r="A10" s="113" t="s">
        <v>8</v>
      </c>
      <c r="B10" s="114" t="s">
        <v>9</v>
      </c>
    </row>
    <row r="11" spans="1:11">
      <c r="A11" s="113" t="s">
        <v>10</v>
      </c>
      <c r="B11" s="114" t="s">
        <v>4</v>
      </c>
    </row>
    <row r="12" spans="1:11">
      <c r="A12" s="115" t="s">
        <v>11</v>
      </c>
      <c r="B12" s="116" t="s">
        <v>12</v>
      </c>
    </row>
    <row r="14" spans="1:11" ht="26.25">
      <c r="A14" s="117" t="s">
        <v>13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1:11">
      <c r="A15" t="str">
        <f>_xll.Assistant.XL.RIK_SR("INF02__0_D=16x2_O=7_0_0_0_0_1-1;INF02@E=0,S=1023,G=1,T=0_0,P=-1_,C=0,L=Mois@E=0,S=1001|1,G=1,T=0_0,P=-1_,C=0,L=Compte Général - Code@E=1,S=1031,L=Solde Tenue de Compte,O=NF='Nombre'@R=A,S=1000,V={0}:R=B,S=1012|1,V=VT:R=C,S=1,V={1}:",$B$8,$B$10)</f>
        <v/>
      </c>
    </row>
    <row r="17" spans="1:2">
      <c r="B17" s="119" t="s">
        <v>10</v>
      </c>
    </row>
    <row r="18" spans="1:2">
      <c r="A18" s="119" t="s">
        <v>14</v>
      </c>
      <c r="B18" s="120">
        <v>10</v>
      </c>
    </row>
    <row r="19" spans="1:2">
      <c r="A19" s="534">
        <v>411000</v>
      </c>
      <c r="B19" s="624">
        <v>-1431370.4</v>
      </c>
    </row>
    <row r="20" spans="1:2">
      <c r="A20" s="534">
        <v>445669</v>
      </c>
      <c r="B20" s="624">
        <v>-538.37</v>
      </c>
    </row>
    <row r="21" spans="1:2">
      <c r="A21" s="534">
        <v>445715</v>
      </c>
      <c r="B21" s="624">
        <v>5556.74</v>
      </c>
    </row>
    <row r="22" spans="1:2">
      <c r="A22" s="534">
        <v>445716</v>
      </c>
      <c r="B22" s="624">
        <v>75619.45</v>
      </c>
    </row>
    <row r="23" spans="1:2">
      <c r="A23" s="534">
        <v>445719</v>
      </c>
      <c r="B23" s="624">
        <v>538.37</v>
      </c>
    </row>
    <row r="24" spans="1:2">
      <c r="A24" s="534">
        <v>706110</v>
      </c>
      <c r="B24" s="624">
        <v>111456.16</v>
      </c>
    </row>
    <row r="25" spans="1:2">
      <c r="A25" s="534">
        <v>706118</v>
      </c>
      <c r="B25" s="624">
        <v>180772.77</v>
      </c>
    </row>
    <row r="26" spans="1:2">
      <c r="A26" s="534">
        <v>707000</v>
      </c>
      <c r="B26" s="624">
        <v>23887.919999999998</v>
      </c>
    </row>
    <row r="27" spans="1:2">
      <c r="A27" s="534">
        <v>707050</v>
      </c>
      <c r="B27" s="624">
        <v>267113.52</v>
      </c>
    </row>
    <row r="28" spans="1:2">
      <c r="A28" s="534">
        <v>707051</v>
      </c>
      <c r="B28" s="624">
        <v>469898.66</v>
      </c>
    </row>
    <row r="29" spans="1:2">
      <c r="A29" s="534">
        <v>707052</v>
      </c>
      <c r="B29" s="624">
        <v>179207.91</v>
      </c>
    </row>
    <row r="30" spans="1:2">
      <c r="A30" s="534">
        <v>708518</v>
      </c>
      <c r="B30" s="624">
        <v>89764.17</v>
      </c>
    </row>
    <row r="31" spans="1:2">
      <c r="A31" s="534">
        <v>708519</v>
      </c>
      <c r="B31" s="624">
        <v>28093.1</v>
      </c>
    </row>
    <row r="32" spans="1:2">
      <c r="A32" s="536" t="s">
        <v>15</v>
      </c>
      <c r="B32" s="625">
        <v>0</v>
      </c>
    </row>
    <row r="35" spans="1:14">
      <c r="D35" s="537"/>
    </row>
    <row r="38" spans="1:14" ht="15" customHeight="1"/>
    <row r="39" spans="1:14" ht="15" customHeight="1"/>
    <row r="42" spans="1:14">
      <c r="A42" s="97"/>
      <c r="B42" s="97">
        <v>10</v>
      </c>
      <c r="C42" s="97">
        <v>11</v>
      </c>
      <c r="D42" s="97">
        <v>12</v>
      </c>
      <c r="E42" s="97">
        <v>1</v>
      </c>
      <c r="F42" s="97">
        <v>2</v>
      </c>
      <c r="G42" s="97">
        <v>3</v>
      </c>
      <c r="H42" s="97">
        <v>4</v>
      </c>
      <c r="I42" s="97">
        <v>5</v>
      </c>
      <c r="J42" s="97">
        <v>6</v>
      </c>
      <c r="K42" s="97">
        <v>7</v>
      </c>
      <c r="L42" s="97">
        <v>8</v>
      </c>
      <c r="M42" s="97">
        <v>9</v>
      </c>
      <c r="N42" s="97" t="s">
        <v>15</v>
      </c>
    </row>
    <row r="43" spans="1:14">
      <c r="A43" s="97" t="s">
        <v>16</v>
      </c>
      <c r="B43" s="121">
        <v>1350194.21</v>
      </c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>
        <f>SUM(B43:M43)</f>
        <v>1350194.21</v>
      </c>
    </row>
    <row r="44" spans="1:14">
      <c r="A44" s="97" t="s">
        <v>17</v>
      </c>
      <c r="B44" s="121">
        <v>67101.23</v>
      </c>
      <c r="C44" s="121"/>
      <c r="D44" s="121"/>
      <c r="E44" s="121"/>
      <c r="F44" s="121"/>
      <c r="G44" s="121"/>
      <c r="H44" s="121"/>
      <c r="I44" s="121"/>
      <c r="J44" s="97"/>
      <c r="K44" s="97"/>
      <c r="L44" s="97"/>
      <c r="M44" s="97"/>
      <c r="N44" s="121">
        <f>SUM(B44:M44)</f>
        <v>67101.23</v>
      </c>
    </row>
    <row r="45" spans="1:14">
      <c r="A45" s="97" t="s">
        <v>18</v>
      </c>
      <c r="B45" s="187">
        <f>IFERROR(B44/B43,0)</f>
        <v>4.9697465374259009E-2</v>
      </c>
      <c r="C45" s="187">
        <f t="shared" ref="C45:N45" si="0">IFERROR(C44/C43,0)</f>
        <v>0</v>
      </c>
      <c r="D45" s="187">
        <f t="shared" si="0"/>
        <v>0</v>
      </c>
      <c r="E45" s="187">
        <f t="shared" si="0"/>
        <v>0</v>
      </c>
      <c r="F45" s="187">
        <f t="shared" si="0"/>
        <v>0</v>
      </c>
      <c r="G45" s="187">
        <f t="shared" si="0"/>
        <v>0</v>
      </c>
      <c r="H45" s="187">
        <f t="shared" si="0"/>
        <v>0</v>
      </c>
      <c r="I45" s="187">
        <f t="shared" si="0"/>
        <v>0</v>
      </c>
      <c r="J45" s="187">
        <f t="shared" si="0"/>
        <v>0</v>
      </c>
      <c r="K45" s="187">
        <f t="shared" si="0"/>
        <v>0</v>
      </c>
      <c r="L45" s="187">
        <f t="shared" si="0"/>
        <v>0</v>
      </c>
      <c r="M45" s="187">
        <f t="shared" si="0"/>
        <v>0</v>
      </c>
      <c r="N45" s="187">
        <f t="shared" si="0"/>
        <v>4.9697465374259009E-2</v>
      </c>
    </row>
    <row r="52" spans="1:8" ht="26.25">
      <c r="A52" s="117" t="s">
        <v>19</v>
      </c>
      <c r="B52" s="118"/>
      <c r="C52" s="118"/>
      <c r="D52" s="118"/>
      <c r="E52" s="118"/>
      <c r="F52" s="118"/>
      <c r="G52" s="118"/>
      <c r="H52" s="118"/>
    </row>
    <row r="53" spans="1:8">
      <c r="A53" t="str">
        <f>_xll.Assistant.XL.RIK_SR("INF02__0_D=4x3_O=7_0_0_0_0_1-1;INF02@E=0,S=1023,G=1,T=0_0,P=-1_,C=0,L=Mois@E=0,S=1001|1,G=1,T=0_0,P=-1_,C=0,L=Compte Général - Code:E=0,S=1003|2,G=1,T=0_0,P=-1_,C=0,L=Tiers - Nom@E=1,S=1031,L=Solde Tenue de Compte,O=NF='"&amp;"Nombre'@R=A,S=1000,V={0}:R=B,S=1012|1,V=VT:R=C,S=1,V={1}:R=D,S=1011,V=a*:R=E,S=1001|1,V=411000:",$B$8,$B$10)</f>
        <v/>
      </c>
    </row>
    <row r="55" spans="1:8">
      <c r="C55" s="119" t="s">
        <v>10</v>
      </c>
    </row>
    <row r="56" spans="1:8">
      <c r="A56" s="119" t="s">
        <v>14</v>
      </c>
      <c r="B56" s="119" t="s">
        <v>20</v>
      </c>
      <c r="C56" s="120">
        <v>10</v>
      </c>
    </row>
    <row r="57" spans="1:8" outlineLevel="1">
      <c r="A57" s="535">
        <v>411000</v>
      </c>
      <c r="B57" s="534" t="s">
        <v>21</v>
      </c>
      <c r="C57" s="624">
        <v>67101.259999999995</v>
      </c>
    </row>
    <row r="58" spans="1:8">
      <c r="A58" s="562" t="s">
        <v>22</v>
      </c>
      <c r="B58" s="563"/>
      <c r="C58" s="625">
        <v>67101.259999999995</v>
      </c>
    </row>
    <row r="64" spans="1:8" ht="15" customHeight="1"/>
    <row r="65" ht="15" customHeight="1"/>
    <row r="66" ht="15" customHeight="1"/>
    <row r="74" ht="15" customHeight="1"/>
    <row r="75" ht="15" customHeight="1"/>
    <row r="76" ht="15" customHeight="1"/>
    <row r="77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</sheetData>
  <mergeCells count="1">
    <mergeCell ref="A58:B58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FC89-B6D3-4F72-B88D-203E274350A2}">
  <sheetPr codeName="Feuil1">
    <tabColor theme="0"/>
    <pageSetUpPr fitToPage="1"/>
  </sheetPr>
  <dimension ref="A1:Q40"/>
  <sheetViews>
    <sheetView showGridLines="0" topLeftCell="A13" zoomScale="85" zoomScaleNormal="85" workbookViewId="0">
      <selection activeCell="A32" sqref="A32"/>
    </sheetView>
  </sheetViews>
  <sheetFormatPr defaultColWidth="11.42578125" defaultRowHeight="15"/>
  <cols>
    <col min="1" max="1" width="63.85546875" bestFit="1" customWidth="1"/>
    <col min="18" max="18" width="15.28515625" customWidth="1"/>
  </cols>
  <sheetData>
    <row r="1" spans="1:17" ht="26.25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7">
      <c r="B3" s="14">
        <v>45931</v>
      </c>
      <c r="C3" s="14">
        <v>45962</v>
      </c>
      <c r="D3" s="14">
        <v>45992</v>
      </c>
      <c r="E3" s="14">
        <v>46023</v>
      </c>
      <c r="F3" s="14">
        <v>46054</v>
      </c>
      <c r="G3" s="14">
        <v>46082</v>
      </c>
      <c r="H3" s="14">
        <v>46113</v>
      </c>
      <c r="I3" s="14">
        <v>46143</v>
      </c>
      <c r="J3" s="14">
        <v>46174</v>
      </c>
      <c r="K3" s="14">
        <v>46204</v>
      </c>
      <c r="L3" s="14">
        <v>46235</v>
      </c>
      <c r="M3" s="14">
        <v>46266</v>
      </c>
      <c r="N3" s="14" t="s">
        <v>24</v>
      </c>
    </row>
    <row r="4" spans="1:17">
      <c r="A4" s="15" t="s">
        <v>25</v>
      </c>
      <c r="B4" s="17">
        <f>'base_Sage bi reporting'!B43</f>
        <v>1350194.21</v>
      </c>
      <c r="C4" s="17">
        <v>489821.96</v>
      </c>
      <c r="D4" s="17">
        <f>'base_Sage bi reporting'!D43</f>
        <v>0</v>
      </c>
      <c r="E4" s="17">
        <f>'base_Sage bi reporting'!E43</f>
        <v>0</v>
      </c>
      <c r="F4" s="17">
        <f>'base_Sage bi reporting'!F43</f>
        <v>0</v>
      </c>
      <c r="G4" s="17">
        <f>'base_Sage bi reporting'!G43</f>
        <v>0</v>
      </c>
      <c r="H4" s="17">
        <f>'base_Sage bi reporting'!H43</f>
        <v>0</v>
      </c>
      <c r="I4" s="17">
        <f>'base_Sage bi reporting'!I43</f>
        <v>0</v>
      </c>
      <c r="J4" s="17">
        <f>'base_Sage bi reporting'!J43</f>
        <v>0</v>
      </c>
      <c r="K4" s="17">
        <f>'base_Sage bi reporting'!K43</f>
        <v>0</v>
      </c>
      <c r="L4" s="17">
        <f>'base_Sage bi reporting'!L43</f>
        <v>0</v>
      </c>
      <c r="M4" s="17">
        <f>'base_Sage bi reporting'!M43</f>
        <v>0</v>
      </c>
      <c r="N4" s="17">
        <f>'base_Sage bi reporting'!N43</f>
        <v>1350194.21</v>
      </c>
    </row>
    <row r="5" spans="1:17">
      <c r="A5" s="15" t="s">
        <v>26</v>
      </c>
      <c r="B5" s="17">
        <f>'base_Sage bi reporting'!B44</f>
        <v>67101.23</v>
      </c>
      <c r="C5" s="17">
        <v>0</v>
      </c>
      <c r="D5" s="17">
        <f>'base_Sage bi reporting'!D44</f>
        <v>0</v>
      </c>
      <c r="E5" s="17">
        <f>'base_Sage bi reporting'!E44</f>
        <v>0</v>
      </c>
      <c r="F5" s="17">
        <f>'base_Sage bi reporting'!F44</f>
        <v>0</v>
      </c>
      <c r="G5" s="17">
        <f>'base_Sage bi reporting'!G44</f>
        <v>0</v>
      </c>
      <c r="H5" s="17">
        <f>'base_Sage bi reporting'!H44</f>
        <v>0</v>
      </c>
      <c r="I5" s="17">
        <f>'base_Sage bi reporting'!I44</f>
        <v>0</v>
      </c>
      <c r="J5" s="17">
        <f>'base_Sage bi reporting'!J44</f>
        <v>0</v>
      </c>
      <c r="K5" s="17">
        <f>'base_Sage bi reporting'!K44</f>
        <v>0</v>
      </c>
      <c r="L5" s="17">
        <f>'base_Sage bi reporting'!L44</f>
        <v>0</v>
      </c>
      <c r="M5" s="17">
        <f>'base_Sage bi reporting'!M44</f>
        <v>0</v>
      </c>
      <c r="N5" s="17">
        <f>'base_Sage bi reporting'!N44</f>
        <v>67101.23</v>
      </c>
    </row>
    <row r="6" spans="1:17">
      <c r="A6" t="s">
        <v>27</v>
      </c>
      <c r="B6" s="12">
        <f>'base_Sage bi reporting'!B45</f>
        <v>4.9697465374259009E-2</v>
      </c>
      <c r="C6" s="12">
        <f>'base_Sage bi reporting'!C45</f>
        <v>0</v>
      </c>
      <c r="D6" s="12">
        <f>'base_Sage bi reporting'!D45</f>
        <v>0</v>
      </c>
      <c r="E6" s="12">
        <f>'base_Sage bi reporting'!E45</f>
        <v>0</v>
      </c>
      <c r="F6" s="12">
        <f>'base_Sage bi reporting'!F45</f>
        <v>0</v>
      </c>
      <c r="G6" s="12">
        <f>'base_Sage bi reporting'!G45</f>
        <v>0</v>
      </c>
      <c r="H6" s="12">
        <f>'base_Sage bi reporting'!H45</f>
        <v>0</v>
      </c>
      <c r="I6" s="12">
        <f>'base_Sage bi reporting'!I45</f>
        <v>0</v>
      </c>
      <c r="J6" s="12">
        <f>'base_Sage bi reporting'!J45</f>
        <v>0</v>
      </c>
      <c r="K6" s="12">
        <f>'base_Sage bi reporting'!K45</f>
        <v>0</v>
      </c>
      <c r="L6" s="12">
        <f>'base_Sage bi reporting'!L45</f>
        <v>0</v>
      </c>
      <c r="M6" s="12">
        <f>'base_Sage bi reporting'!M45</f>
        <v>0</v>
      </c>
      <c r="N6" s="12">
        <f>'base_Sage bi reporting'!N45</f>
        <v>4.9697465374259009E-2</v>
      </c>
    </row>
    <row r="9" spans="1:17" ht="26.25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1" spans="1:17" s="18" customFormat="1" ht="30">
      <c r="B11" s="19">
        <f t="shared" ref="B11:M11" si="0">B3</f>
        <v>45931</v>
      </c>
      <c r="C11" s="19">
        <f t="shared" si="0"/>
        <v>45962</v>
      </c>
      <c r="D11" s="19">
        <f t="shared" si="0"/>
        <v>45992</v>
      </c>
      <c r="E11" s="19">
        <f t="shared" si="0"/>
        <v>46023</v>
      </c>
      <c r="F11" s="19">
        <f t="shared" si="0"/>
        <v>46054</v>
      </c>
      <c r="G11" s="19">
        <f t="shared" si="0"/>
        <v>46082</v>
      </c>
      <c r="H11" s="19">
        <f t="shared" si="0"/>
        <v>46113</v>
      </c>
      <c r="I11" s="19">
        <f t="shared" si="0"/>
        <v>46143</v>
      </c>
      <c r="J11" s="19">
        <f t="shared" si="0"/>
        <v>46174</v>
      </c>
      <c r="K11" s="19">
        <f t="shared" si="0"/>
        <v>46204</v>
      </c>
      <c r="L11" s="19">
        <f t="shared" si="0"/>
        <v>46235</v>
      </c>
      <c r="M11" s="19">
        <f t="shared" si="0"/>
        <v>46266</v>
      </c>
      <c r="N11" s="19" t="s">
        <v>29</v>
      </c>
    </row>
    <row r="12" spans="1:17">
      <c r="A12" s="15" t="s">
        <v>30</v>
      </c>
      <c r="B12" s="184">
        <v>76</v>
      </c>
      <c r="C12" s="184">
        <v>76</v>
      </c>
      <c r="D12" s="184">
        <v>76</v>
      </c>
      <c r="E12" s="184"/>
      <c r="F12" s="184"/>
      <c r="G12" s="184"/>
      <c r="H12" s="184"/>
      <c r="I12" s="184"/>
      <c r="J12" s="184"/>
      <c r="K12" s="184"/>
      <c r="L12" s="184"/>
      <c r="M12" s="184"/>
      <c r="N12" s="13">
        <f>IFERROR(LOOKUP(9^9,B12:M12),0)</f>
        <v>76</v>
      </c>
    </row>
    <row r="13" spans="1:17">
      <c r="A13" t="s">
        <v>31</v>
      </c>
      <c r="B13" s="185">
        <v>75</v>
      </c>
      <c r="C13" s="185">
        <v>75</v>
      </c>
      <c r="D13" s="185">
        <v>75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1">
        <f>IFERROR(LOOKUP(9^9,B13:M13),0)</f>
        <v>75</v>
      </c>
      <c r="P13" s="186" t="s">
        <v>32</v>
      </c>
      <c r="Q13" s="186"/>
    </row>
    <row r="14" spans="1:17">
      <c r="A14" s="152" t="s">
        <v>33</v>
      </c>
      <c r="B14" s="188">
        <f t="shared" ref="B14" si="1">IFERROR(B13/B12,0)</f>
        <v>0.98684210526315785</v>
      </c>
      <c r="C14" s="188">
        <f t="shared" ref="C14" si="2">IFERROR(C13/C12,0)</f>
        <v>0.98684210526315785</v>
      </c>
      <c r="D14" s="188">
        <f t="shared" ref="D14" si="3">IFERROR(D13/D12,0)</f>
        <v>0.98684210526315785</v>
      </c>
      <c r="E14" s="188">
        <f t="shared" ref="E14" si="4">IFERROR(E13/E12,0)</f>
        <v>0</v>
      </c>
      <c r="F14" s="188">
        <f t="shared" ref="F14" si="5">IFERROR(F13/F12,0)</f>
        <v>0</v>
      </c>
      <c r="G14" s="188">
        <f t="shared" ref="G14" si="6">IFERROR(G13/G12,0)</f>
        <v>0</v>
      </c>
      <c r="H14" s="188">
        <f t="shared" ref="H14" si="7">IFERROR(H13/H12,0)</f>
        <v>0</v>
      </c>
      <c r="I14" s="188">
        <f t="shared" ref="I14" si="8">IFERROR(I13/I12,0)</f>
        <v>0</v>
      </c>
      <c r="J14" s="188">
        <f t="shared" ref="J14" si="9">IFERROR(J13/J12,0)</f>
        <v>0</v>
      </c>
      <c r="K14" s="188">
        <f t="shared" ref="K14" si="10">IFERROR(K13/K12,0)</f>
        <v>0</v>
      </c>
      <c r="L14" s="188">
        <f>IFERROR(L13/L12,0)</f>
        <v>0</v>
      </c>
      <c r="M14" s="188">
        <f t="shared" ref="M14" si="11">IFERROR(M13/M12,0)</f>
        <v>0</v>
      </c>
      <c r="N14" s="188">
        <f>IFERROR(N13/N12,0)</f>
        <v>0.98684210526315785</v>
      </c>
    </row>
    <row r="15" spans="1:17">
      <c r="A15" t="s">
        <v>34</v>
      </c>
    </row>
    <row r="16" spans="1:17">
      <c r="A16" t="s">
        <v>35</v>
      </c>
    </row>
    <row r="19" spans="1:17" ht="26.25">
      <c r="A19" s="16" t="s">
        <v>36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1" spans="1:17" s="18" customFormat="1" ht="30">
      <c r="B21" s="19">
        <f t="shared" ref="B21:M21" si="12">+B11</f>
        <v>45931</v>
      </c>
      <c r="C21" s="19">
        <f t="shared" si="12"/>
        <v>45962</v>
      </c>
      <c r="D21" s="19">
        <f t="shared" si="12"/>
        <v>45992</v>
      </c>
      <c r="E21" s="19">
        <f t="shared" si="12"/>
        <v>46023</v>
      </c>
      <c r="F21" s="19">
        <f t="shared" si="12"/>
        <v>46054</v>
      </c>
      <c r="G21" s="19">
        <f t="shared" si="12"/>
        <v>46082</v>
      </c>
      <c r="H21" s="19">
        <f t="shared" si="12"/>
        <v>46113</v>
      </c>
      <c r="I21" s="19">
        <f t="shared" si="12"/>
        <v>46143</v>
      </c>
      <c r="J21" s="19">
        <f t="shared" si="12"/>
        <v>46174</v>
      </c>
      <c r="K21" s="19">
        <f t="shared" si="12"/>
        <v>46204</v>
      </c>
      <c r="L21" s="19">
        <f t="shared" si="12"/>
        <v>46235</v>
      </c>
      <c r="M21" s="19">
        <f t="shared" si="12"/>
        <v>46266</v>
      </c>
      <c r="N21" s="19" t="s">
        <v>29</v>
      </c>
    </row>
    <row r="22" spans="1:17">
      <c r="A22" s="15" t="s">
        <v>37</v>
      </c>
      <c r="B22" s="184">
        <v>179</v>
      </c>
      <c r="C22" s="184">
        <v>179</v>
      </c>
      <c r="D22" s="184">
        <v>179</v>
      </c>
      <c r="E22" s="184"/>
      <c r="F22" s="184"/>
      <c r="G22" s="184"/>
      <c r="H22" s="184"/>
      <c r="I22" s="184"/>
      <c r="J22" s="184"/>
      <c r="K22" s="184"/>
      <c r="L22" s="184"/>
      <c r="M22" s="184"/>
      <c r="N22" s="13">
        <f>IFERROR(LOOKUP(9^9,B22:M22),0)</f>
        <v>179</v>
      </c>
    </row>
    <row r="23" spans="1:17">
      <c r="A23" t="s">
        <v>38</v>
      </c>
      <c r="B23" s="185">
        <v>0</v>
      </c>
      <c r="C23" s="185">
        <v>0</v>
      </c>
      <c r="D23" s="185">
        <v>0</v>
      </c>
      <c r="E23" s="185"/>
      <c r="F23" s="185"/>
      <c r="G23" s="185"/>
      <c r="H23" s="185"/>
      <c r="I23" s="185"/>
      <c r="J23" s="185"/>
      <c r="K23" s="185"/>
      <c r="L23" s="185"/>
      <c r="M23" s="185"/>
      <c r="N23" s="11">
        <f>IFERROR(LOOKUP(9^9,B23:M23),0)</f>
        <v>0</v>
      </c>
      <c r="P23" s="186" t="s">
        <v>32</v>
      </c>
      <c r="Q23" s="186"/>
    </row>
    <row r="24" spans="1:17">
      <c r="A24" s="152" t="s">
        <v>33</v>
      </c>
      <c r="B24" s="188">
        <f t="shared" ref="B24:K24" si="13">IFERROR(B23/B22,0)</f>
        <v>0</v>
      </c>
      <c r="C24" s="188">
        <f t="shared" si="13"/>
        <v>0</v>
      </c>
      <c r="D24" s="188">
        <f t="shared" si="13"/>
        <v>0</v>
      </c>
      <c r="E24" s="188">
        <f t="shared" si="13"/>
        <v>0</v>
      </c>
      <c r="F24" s="188">
        <f t="shared" si="13"/>
        <v>0</v>
      </c>
      <c r="G24" s="188">
        <f t="shared" si="13"/>
        <v>0</v>
      </c>
      <c r="H24" s="188">
        <f t="shared" si="13"/>
        <v>0</v>
      </c>
      <c r="I24" s="188">
        <f t="shared" si="13"/>
        <v>0</v>
      </c>
      <c r="J24" s="188">
        <f t="shared" si="13"/>
        <v>0</v>
      </c>
      <c r="K24" s="188">
        <f t="shared" si="13"/>
        <v>0</v>
      </c>
      <c r="L24" s="188">
        <f>IFERROR(L23/L22,0)</f>
        <v>0</v>
      </c>
      <c r="M24" s="188">
        <f t="shared" ref="M24" si="14">IFERROR(M23/M22,0)</f>
        <v>0</v>
      </c>
      <c r="N24" s="188">
        <f>IFERROR(N23/N22,0)</f>
        <v>0</v>
      </c>
    </row>
    <row r="25" spans="1:17">
      <c r="A25" t="s">
        <v>34</v>
      </c>
    </row>
    <row r="26" spans="1:17">
      <c r="A26" t="s">
        <v>39</v>
      </c>
    </row>
    <row r="29" spans="1:17" ht="26.25">
      <c r="A29" s="16" t="s">
        <v>40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1" spans="1:17" ht="30">
      <c r="A31" s="18"/>
      <c r="B31" s="19">
        <f>+B3</f>
        <v>45931</v>
      </c>
      <c r="C31" s="19">
        <f t="shared" ref="C31:M31" si="15">+C3</f>
        <v>45962</v>
      </c>
      <c r="D31" s="19">
        <f t="shared" si="15"/>
        <v>45992</v>
      </c>
      <c r="E31" s="19">
        <f t="shared" si="15"/>
        <v>46023</v>
      </c>
      <c r="F31" s="19">
        <f t="shared" si="15"/>
        <v>46054</v>
      </c>
      <c r="G31" s="19">
        <f t="shared" si="15"/>
        <v>46082</v>
      </c>
      <c r="H31" s="19">
        <f t="shared" si="15"/>
        <v>46113</v>
      </c>
      <c r="I31" s="19">
        <f t="shared" si="15"/>
        <v>46143</v>
      </c>
      <c r="J31" s="19">
        <f t="shared" si="15"/>
        <v>46174</v>
      </c>
      <c r="K31" s="19">
        <f t="shared" si="15"/>
        <v>46204</v>
      </c>
      <c r="L31" s="19">
        <f t="shared" si="15"/>
        <v>46235</v>
      </c>
      <c r="M31" s="19">
        <f t="shared" si="15"/>
        <v>46266</v>
      </c>
      <c r="N31" s="19" t="s">
        <v>29</v>
      </c>
    </row>
    <row r="32" spans="1:17">
      <c r="A32" s="15" t="s">
        <v>41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3">
        <f>IFERROR(LOOKUP(9^9,B32:M32),0)</f>
        <v>0</v>
      </c>
    </row>
    <row r="33" spans="1:14">
      <c r="A33" t="s">
        <v>41</v>
      </c>
      <c r="B33" s="476"/>
      <c r="C33" s="476"/>
      <c r="D33" s="476"/>
      <c r="E33" s="476"/>
      <c r="F33" s="476"/>
      <c r="G33" s="476"/>
      <c r="H33" s="476"/>
      <c r="I33" s="476"/>
      <c r="J33" s="476"/>
      <c r="K33" s="476"/>
      <c r="L33" s="476"/>
      <c r="M33" s="476"/>
      <c r="N33" s="477"/>
    </row>
    <row r="34" spans="1:14">
      <c r="A34" t="s">
        <v>41</v>
      </c>
      <c r="B34" s="476"/>
      <c r="C34" s="476"/>
      <c r="D34" s="476"/>
      <c r="E34" s="476"/>
      <c r="F34" s="476"/>
      <c r="G34" s="476"/>
      <c r="H34" s="476"/>
      <c r="I34" s="476"/>
      <c r="J34" s="476"/>
      <c r="K34" s="476"/>
      <c r="L34" s="476"/>
      <c r="M34" s="476"/>
      <c r="N34" s="477"/>
    </row>
    <row r="35" spans="1:14">
      <c r="A35" t="s">
        <v>41</v>
      </c>
      <c r="B35" s="476"/>
      <c r="C35" s="476"/>
      <c r="D35" s="476"/>
      <c r="E35" s="476"/>
      <c r="F35" s="476"/>
      <c r="G35" s="476"/>
      <c r="H35" s="476"/>
      <c r="I35" s="476"/>
      <c r="J35" s="476"/>
      <c r="K35" s="476"/>
      <c r="L35" s="476"/>
      <c r="M35" s="476"/>
      <c r="N35" s="477"/>
    </row>
    <row r="36" spans="1:14">
      <c r="A36" t="s">
        <v>41</v>
      </c>
      <c r="B36" s="476"/>
      <c r="C36" s="476"/>
      <c r="D36" s="476"/>
      <c r="E36" s="476"/>
      <c r="F36" s="476"/>
      <c r="G36" s="476"/>
      <c r="H36" s="476"/>
      <c r="I36" s="476"/>
      <c r="J36" s="476"/>
      <c r="K36" s="476"/>
      <c r="L36" s="476"/>
      <c r="M36" s="476"/>
      <c r="N36" s="477"/>
    </row>
    <row r="37" spans="1:14">
      <c r="A37" t="s">
        <v>41</v>
      </c>
      <c r="B37" s="476"/>
      <c r="C37" s="476"/>
      <c r="D37" s="476"/>
      <c r="E37" s="476"/>
      <c r="F37" s="476"/>
      <c r="G37" s="476"/>
      <c r="H37" s="476"/>
      <c r="I37" s="476"/>
      <c r="J37" s="476"/>
      <c r="K37" s="476"/>
      <c r="L37" s="476"/>
      <c r="M37" s="476"/>
      <c r="N37" s="477"/>
    </row>
    <row r="38" spans="1:14">
      <c r="A38" t="s">
        <v>41</v>
      </c>
      <c r="B38" s="476"/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7"/>
    </row>
    <row r="39" spans="1:14">
      <c r="A39" t="s">
        <v>41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1">
        <f>IFERROR(LOOKUP(9^9,B39:M39),0)</f>
        <v>0</v>
      </c>
    </row>
    <row r="40" spans="1:14">
      <c r="A40" s="152" t="s">
        <v>15</v>
      </c>
      <c r="B40" s="478">
        <f>SUM(B32:B39)</f>
        <v>0</v>
      </c>
      <c r="C40" s="478">
        <f t="shared" ref="C40:M40" si="16">SUM(C32:C39)</f>
        <v>0</v>
      </c>
      <c r="D40" s="478">
        <f t="shared" si="16"/>
        <v>0</v>
      </c>
      <c r="E40" s="478">
        <f t="shared" si="16"/>
        <v>0</v>
      </c>
      <c r="F40" s="478">
        <f t="shared" si="16"/>
        <v>0</v>
      </c>
      <c r="G40" s="478">
        <f t="shared" si="16"/>
        <v>0</v>
      </c>
      <c r="H40" s="478">
        <f t="shared" si="16"/>
        <v>0</v>
      </c>
      <c r="I40" s="478">
        <f t="shared" si="16"/>
        <v>0</v>
      </c>
      <c r="J40" s="478">
        <f t="shared" si="16"/>
        <v>0</v>
      </c>
      <c r="K40" s="478">
        <f t="shared" si="16"/>
        <v>0</v>
      </c>
      <c r="L40" s="478">
        <f t="shared" si="16"/>
        <v>0</v>
      </c>
      <c r="M40" s="478">
        <f t="shared" si="16"/>
        <v>0</v>
      </c>
      <c r="N40" s="478">
        <f>IFERROR(LOOKUP(9^9,B40:M40),0)</f>
        <v>0</v>
      </c>
    </row>
  </sheetData>
  <pageMargins left="0.70866141732283472" right="0.70866141732283472" top="0.74803149606299213" bottom="0.74803149606299213" header="0.31496062992125984" footer="0.31496062992125984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3156-A893-47C2-AC51-FBDFF1BF31EA}">
  <sheetPr codeName="Feuil2">
    <tabColor rgb="FFFFFF00"/>
    <pageSetUpPr fitToPage="1"/>
  </sheetPr>
  <dimension ref="A1:XDY162"/>
  <sheetViews>
    <sheetView showGridLines="0" zoomScale="70" zoomScaleNormal="70" zoomScaleSheetLayoutView="55" workbookViewId="0">
      <pane ySplit="7" topLeftCell="A14" activePane="bottomLeft" state="frozen"/>
      <selection pane="bottomLeft" activeCell="A7" sqref="A7:XFD7"/>
    </sheetView>
  </sheetViews>
  <sheetFormatPr defaultColWidth="11.42578125" defaultRowHeight="15" outlineLevelRow="1" outlineLevelCol="3"/>
  <cols>
    <col min="1" max="1" width="6.140625" customWidth="1"/>
    <col min="2" max="2" width="44.5703125" style="1" customWidth="1"/>
    <col min="3" max="3" width="33.85546875" customWidth="1"/>
    <col min="4" max="4" width="9.7109375" customWidth="1"/>
    <col min="5" max="5" width="9.85546875" customWidth="1"/>
    <col min="6" max="6" width="48" customWidth="1"/>
    <col min="7" max="7" width="11.7109375" customWidth="1"/>
    <col min="8" max="8" width="8.85546875" customWidth="1" outlineLevel="1"/>
    <col min="9" max="9" width="12.28515625" customWidth="1"/>
    <col min="10" max="10" width="95.5703125" customWidth="1"/>
    <col min="11" max="11" width="10.28515625" customWidth="1"/>
    <col min="12" max="12" width="13.85546875" customWidth="1" outlineLevel="2"/>
    <col min="13" max="13" width="44.85546875" customWidth="1" outlineLevel="2"/>
    <col min="14" max="14" width="12.140625" customWidth="1" outlineLevel="2" collapsed="1"/>
    <col min="15" max="15" width="12.140625" customWidth="1" outlineLevel="2"/>
    <col min="16" max="16" width="12.140625" customWidth="1" outlineLevel="2" collapsed="1"/>
    <col min="17" max="17" width="12.140625" customWidth="1" outlineLevel="2"/>
    <col min="18" max="25" width="12.140625" customWidth="1" outlineLevel="3"/>
    <col min="26" max="26" width="12.140625" customWidth="1"/>
    <col min="27" max="28" width="12.140625" hidden="1" customWidth="1" outlineLevel="1"/>
    <col min="29" max="29" width="5.140625" customWidth="1" collapsed="1"/>
    <col min="30" max="30" width="12.140625" hidden="1" customWidth="1" outlineLevel="1"/>
    <col min="31" max="31" width="12" hidden="1" customWidth="1" outlineLevel="1"/>
    <col min="32" max="32" width="13" hidden="1" customWidth="1" outlineLevel="1"/>
    <col min="33" max="33" width="71.7109375" hidden="1" customWidth="1" outlineLevel="1"/>
    <col min="34" max="35" width="0" hidden="1" customWidth="1" outlineLevel="1"/>
    <col min="36" max="36" width="70.140625" hidden="1" customWidth="1" outlineLevel="1"/>
    <col min="37" max="39" width="0" hidden="1" customWidth="1" outlineLevel="1"/>
    <col min="40" max="40" width="97.28515625" hidden="1" customWidth="1" outlineLevel="1"/>
    <col min="41" max="43" width="0" hidden="1" customWidth="1" outlineLevel="1"/>
    <col min="44" max="44" width="192.42578125" hidden="1" customWidth="1" outlineLevel="1"/>
    <col min="45" max="56" width="0" hidden="1" customWidth="1" outlineLevel="1"/>
    <col min="57" max="57" width="11.42578125" collapsed="1"/>
    <col min="58" max="59" width="0" hidden="1" customWidth="1" outlineLevel="1"/>
    <col min="60" max="60" width="11.42578125" collapsed="1"/>
  </cols>
  <sheetData>
    <row r="1" spans="1:62" ht="15" customHeight="1">
      <c r="A1" s="575"/>
      <c r="B1" s="576"/>
      <c r="C1" s="580" t="s">
        <v>42</v>
      </c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1"/>
      <c r="AA1" s="581"/>
      <c r="AB1" s="581"/>
      <c r="AC1" s="581"/>
      <c r="AD1" s="581"/>
      <c r="BI1" s="6" t="s">
        <v>43</v>
      </c>
      <c r="BJ1" s="6" t="s">
        <v>44</v>
      </c>
    </row>
    <row r="2" spans="1:62" ht="15" customHeight="1">
      <c r="A2" s="575"/>
      <c r="B2" s="576"/>
      <c r="C2" s="582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BI2" s="6" t="s">
        <v>45</v>
      </c>
      <c r="BJ2" s="6">
        <v>2</v>
      </c>
    </row>
    <row r="3" spans="1:62" ht="15" customHeight="1">
      <c r="A3" s="575"/>
      <c r="B3" s="576"/>
      <c r="C3" s="584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  <c r="AA3" s="585"/>
      <c r="AB3" s="585"/>
      <c r="AC3" s="585"/>
      <c r="AD3" s="585"/>
      <c r="BI3" s="6" t="s">
        <v>46</v>
      </c>
      <c r="BJ3" s="7">
        <v>45804</v>
      </c>
    </row>
    <row r="4" spans="1:62">
      <c r="O4" s="175"/>
      <c r="P4" s="175"/>
      <c r="Q4" s="175"/>
      <c r="T4" s="98" t="s">
        <v>47</v>
      </c>
      <c r="U4" s="98"/>
      <c r="V4" s="98"/>
    </row>
    <row r="5" spans="1:62">
      <c r="A5" t="s">
        <v>48</v>
      </c>
    </row>
    <row r="6" spans="1:62" ht="15" customHeight="1">
      <c r="A6" s="577" t="s">
        <v>49</v>
      </c>
      <c r="B6" s="577"/>
      <c r="C6" s="2" t="s">
        <v>50</v>
      </c>
      <c r="D6" s="595" t="s">
        <v>51</v>
      </c>
      <c r="E6" s="577" t="s">
        <v>52</v>
      </c>
      <c r="F6" s="592" t="s">
        <v>53</v>
      </c>
      <c r="G6" s="593"/>
      <c r="H6" s="593"/>
      <c r="I6" s="594"/>
      <c r="J6" s="106" t="s">
        <v>54</v>
      </c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460"/>
      <c r="AA6" s="2" t="s">
        <v>55</v>
      </c>
      <c r="AB6" s="261"/>
      <c r="AE6" s="586" t="s">
        <v>49</v>
      </c>
      <c r="AF6" s="586"/>
      <c r="AG6" s="225" t="s">
        <v>50</v>
      </c>
      <c r="AH6" s="578" t="s">
        <v>51</v>
      </c>
      <c r="AI6" s="586" t="s">
        <v>52</v>
      </c>
      <c r="AJ6" s="587" t="s">
        <v>53</v>
      </c>
      <c r="AK6" s="588"/>
      <c r="AL6" s="588"/>
      <c r="AM6" s="589"/>
      <c r="AN6" s="227" t="s">
        <v>54</v>
      </c>
      <c r="AO6" s="228"/>
      <c r="AP6" s="228"/>
      <c r="AQ6" s="228"/>
      <c r="AR6" s="228"/>
      <c r="AS6" s="228"/>
      <c r="AT6" s="228"/>
      <c r="AU6" s="228"/>
      <c r="AV6" s="228"/>
      <c r="AW6" s="228"/>
      <c r="AX6" s="228"/>
      <c r="AY6" s="228"/>
      <c r="AZ6" s="228"/>
      <c r="BA6" s="228"/>
      <c r="BB6" s="228"/>
      <c r="BC6" s="228"/>
      <c r="BD6" s="228"/>
      <c r="BE6" s="229" t="s">
        <v>56</v>
      </c>
      <c r="BF6" s="457"/>
      <c r="BG6" s="458"/>
      <c r="BH6" s="229"/>
    </row>
    <row r="7" spans="1:62" ht="45">
      <c r="A7" s="2" t="s">
        <v>57</v>
      </c>
      <c r="B7" s="2" t="s">
        <v>58</v>
      </c>
      <c r="C7" s="2" t="s">
        <v>59</v>
      </c>
      <c r="D7" s="596"/>
      <c r="E7" s="577"/>
      <c r="F7" s="2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8" t="s">
        <v>67</v>
      </c>
      <c r="N7" s="9">
        <v>45931</v>
      </c>
      <c r="O7" s="10">
        <v>45962</v>
      </c>
      <c r="P7" s="10">
        <v>45992</v>
      </c>
      <c r="Q7" s="10">
        <v>46023</v>
      </c>
      <c r="R7" s="10">
        <v>46054</v>
      </c>
      <c r="S7" s="10">
        <v>46082</v>
      </c>
      <c r="T7" s="10">
        <v>46113</v>
      </c>
      <c r="U7" s="10">
        <v>46143</v>
      </c>
      <c r="V7" s="10">
        <v>46174</v>
      </c>
      <c r="W7" s="10">
        <v>46204</v>
      </c>
      <c r="X7" s="10">
        <v>46235</v>
      </c>
      <c r="Y7" s="10">
        <v>46266</v>
      </c>
      <c r="Z7" s="459" t="s">
        <v>68</v>
      </c>
      <c r="AA7" s="2" t="s">
        <v>69</v>
      </c>
      <c r="AB7" s="261" t="s">
        <v>70</v>
      </c>
      <c r="AE7" s="225" t="s">
        <v>57</v>
      </c>
      <c r="AF7" s="225" t="s">
        <v>58</v>
      </c>
      <c r="AG7" s="225" t="s">
        <v>59</v>
      </c>
      <c r="AH7" s="579"/>
      <c r="AI7" s="586"/>
      <c r="AJ7" s="225" t="s">
        <v>60</v>
      </c>
      <c r="AK7" s="225" t="s">
        <v>61</v>
      </c>
      <c r="AL7" s="225" t="s">
        <v>62</v>
      </c>
      <c r="AM7" s="225" t="s">
        <v>63</v>
      </c>
      <c r="AN7" s="225" t="s">
        <v>64</v>
      </c>
      <c r="AO7" s="225" t="s">
        <v>65</v>
      </c>
      <c r="AP7" s="225" t="s">
        <v>71</v>
      </c>
      <c r="AQ7" s="225" t="s">
        <v>66</v>
      </c>
      <c r="AR7" s="226" t="s">
        <v>67</v>
      </c>
      <c r="AS7" s="230">
        <v>45566</v>
      </c>
      <c r="AT7" s="231">
        <v>45597</v>
      </c>
      <c r="AU7" s="230">
        <v>45627</v>
      </c>
      <c r="AV7" s="231">
        <v>45658</v>
      </c>
      <c r="AW7" s="230">
        <v>45689</v>
      </c>
      <c r="AX7" s="231">
        <v>45717</v>
      </c>
      <c r="AY7" s="230">
        <v>45748</v>
      </c>
      <c r="AZ7" s="231">
        <v>45778</v>
      </c>
      <c r="BA7" s="230">
        <v>45809</v>
      </c>
      <c r="BB7" s="231">
        <v>45839</v>
      </c>
      <c r="BC7" s="230">
        <v>45870</v>
      </c>
      <c r="BD7" s="231">
        <v>45901</v>
      </c>
      <c r="BE7" s="232" t="s">
        <v>68</v>
      </c>
      <c r="BF7" s="225" t="s">
        <v>69</v>
      </c>
      <c r="BG7" s="258" t="s">
        <v>70</v>
      </c>
      <c r="BH7" s="232" t="s">
        <v>72</v>
      </c>
    </row>
    <row r="8" spans="1:62">
      <c r="AF8" s="1"/>
    </row>
    <row r="9" spans="1:62">
      <c r="A9" s="461" t="s">
        <v>73</v>
      </c>
      <c r="B9" s="8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463"/>
      <c r="O9" s="463"/>
      <c r="P9" s="463"/>
      <c r="Q9" s="463"/>
      <c r="R9" s="463"/>
      <c r="S9" s="463"/>
      <c r="T9" s="463"/>
      <c r="U9" s="463"/>
      <c r="V9" s="463"/>
      <c r="W9" s="463"/>
      <c r="X9" s="463"/>
      <c r="Y9" s="463"/>
      <c r="Z9" s="250"/>
      <c r="AA9" s="250"/>
      <c r="AB9" s="445"/>
      <c r="AE9" s="262" t="s">
        <v>73</v>
      </c>
      <c r="AF9" s="249"/>
      <c r="AG9" s="249"/>
      <c r="AH9" s="257"/>
      <c r="AI9" s="249"/>
      <c r="AJ9" s="249"/>
      <c r="AK9" s="249"/>
      <c r="AL9" s="249"/>
      <c r="AM9" s="249"/>
      <c r="AN9" s="249"/>
      <c r="AO9" s="249"/>
      <c r="AP9" s="249"/>
      <c r="AQ9" s="249"/>
      <c r="AR9" s="258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8"/>
      <c r="BF9" s="260"/>
      <c r="BG9" s="260"/>
      <c r="BH9" s="258"/>
    </row>
    <row r="10" spans="1:62" ht="15" customHeight="1">
      <c r="A10" s="570">
        <v>1</v>
      </c>
      <c r="B10" s="570" t="s">
        <v>74</v>
      </c>
      <c r="C10" s="591" t="s">
        <v>75</v>
      </c>
      <c r="D10" s="3">
        <v>1</v>
      </c>
      <c r="E10" s="3" t="s">
        <v>76</v>
      </c>
      <c r="F10" s="20" t="s">
        <v>77</v>
      </c>
      <c r="G10" s="105" t="s">
        <v>4</v>
      </c>
      <c r="H10" s="21" t="s">
        <v>78</v>
      </c>
      <c r="I10" s="22" t="s">
        <v>79</v>
      </c>
      <c r="J10" s="96" t="s">
        <v>80</v>
      </c>
      <c r="K10" s="524">
        <v>0.01</v>
      </c>
      <c r="L10" s="96" t="s">
        <v>81</v>
      </c>
      <c r="M10" s="96" t="s">
        <v>82</v>
      </c>
      <c r="N10" s="127">
        <f>'base_Suivi autre'!B6</f>
        <v>4.9697465374259009E-2</v>
      </c>
      <c r="O10" s="127">
        <f>'base_Suivi autre'!C6</f>
        <v>0</v>
      </c>
      <c r="P10" s="127">
        <f>'base_Suivi autre'!D6</f>
        <v>0</v>
      </c>
      <c r="Q10" s="127">
        <f>'base_Suivi autre'!E6</f>
        <v>0</v>
      </c>
      <c r="R10" s="127">
        <f>'base_Suivi autre'!F6</f>
        <v>0</v>
      </c>
      <c r="S10" s="127">
        <f>'base_Suivi autre'!G6</f>
        <v>0</v>
      </c>
      <c r="T10" s="441">
        <f>'base_Suivi autre'!H6</f>
        <v>0</v>
      </c>
      <c r="U10" s="441">
        <f>'base_Suivi autre'!I6</f>
        <v>0</v>
      </c>
      <c r="V10" s="127">
        <f>'base_Suivi autre'!J6</f>
        <v>0</v>
      </c>
      <c r="W10" s="127">
        <f>'base_Suivi autre'!K6</f>
        <v>0</v>
      </c>
      <c r="X10" s="127">
        <f>'base_Suivi autre'!L6</f>
        <v>0</v>
      </c>
      <c r="Y10" s="127">
        <f>'base_Suivi autre'!M6</f>
        <v>0</v>
      </c>
      <c r="Z10" s="23">
        <f>'base_Suivi autre'!N6</f>
        <v>4.9697465374259009E-2</v>
      </c>
      <c r="AA10" s="25"/>
      <c r="AB10" s="92"/>
      <c r="AE10" s="570">
        <v>1</v>
      </c>
      <c r="AF10" s="570" t="s">
        <v>74</v>
      </c>
      <c r="AG10" s="591" t="s">
        <v>75</v>
      </c>
      <c r="AH10" s="3">
        <v>1</v>
      </c>
      <c r="AI10" s="3" t="s">
        <v>76</v>
      </c>
      <c r="AJ10" s="20" t="s">
        <v>77</v>
      </c>
      <c r="AK10" s="105" t="s">
        <v>4</v>
      </c>
      <c r="AL10" s="21" t="s">
        <v>78</v>
      </c>
      <c r="AM10" s="22" t="s">
        <v>79</v>
      </c>
      <c r="AN10" s="96" t="s">
        <v>80</v>
      </c>
      <c r="AO10" s="23">
        <v>0.01</v>
      </c>
      <c r="AP10" s="23" t="s">
        <v>83</v>
      </c>
      <c r="AQ10" s="96" t="s">
        <v>81</v>
      </c>
      <c r="AR10" s="96" t="s">
        <v>82</v>
      </c>
      <c r="AS10" s="127">
        <v>0</v>
      </c>
      <c r="AT10" s="127">
        <v>1.2608964062267596E-2</v>
      </c>
      <c r="AU10" s="127">
        <v>2.3487252931190583E-2</v>
      </c>
      <c r="AV10" s="127">
        <v>0</v>
      </c>
      <c r="AW10" s="127">
        <v>3.8912817962385569E-2</v>
      </c>
      <c r="AX10" s="127">
        <v>5.118994702848164E-2</v>
      </c>
      <c r="AY10" s="441">
        <v>8.7607536012185207E-4</v>
      </c>
      <c r="AZ10" s="441">
        <v>8.4272576716302593E-4</v>
      </c>
      <c r="BA10" s="127">
        <v>1.1732665324520111E-3</v>
      </c>
      <c r="BB10" s="127">
        <v>0</v>
      </c>
      <c r="BC10" s="127">
        <v>1.0812258595170633E-2</v>
      </c>
      <c r="BD10" s="127">
        <v>0</v>
      </c>
      <c r="BE10" s="23">
        <v>1.2336217469211229E-2</v>
      </c>
      <c r="BF10" s="25">
        <v>0.01</v>
      </c>
      <c r="BG10" s="92">
        <v>0</v>
      </c>
      <c r="BH10" s="23"/>
    </row>
    <row r="11" spans="1:62">
      <c r="A11" s="570"/>
      <c r="B11" s="570"/>
      <c r="C11" s="591"/>
      <c r="D11" s="26">
        <v>1</v>
      </c>
      <c r="E11" s="26" t="s">
        <v>84</v>
      </c>
      <c r="F11" s="27" t="s">
        <v>85</v>
      </c>
      <c r="G11" s="28" t="s">
        <v>4</v>
      </c>
      <c r="H11" s="145" t="s">
        <v>86</v>
      </c>
      <c r="I11" s="29" t="s">
        <v>79</v>
      </c>
      <c r="J11" s="33" t="s">
        <v>87</v>
      </c>
      <c r="K11" s="135">
        <v>1</v>
      </c>
      <c r="L11" s="33" t="s">
        <v>81</v>
      </c>
      <c r="M11" s="33" t="s">
        <v>82</v>
      </c>
      <c r="N11" s="122">
        <f>'base_Suivi autre'!B14</f>
        <v>0.98684210526315785</v>
      </c>
      <c r="O11" s="122">
        <f>'base_Suivi autre'!C14</f>
        <v>0.98684210526315785</v>
      </c>
      <c r="P11" s="122">
        <f>'base_Suivi autre'!D14</f>
        <v>0.98684210526315785</v>
      </c>
      <c r="Q11" s="122">
        <f>'base_Suivi autre'!E14</f>
        <v>0</v>
      </c>
      <c r="R11" s="122">
        <f>'base_Suivi autre'!F14</f>
        <v>0</v>
      </c>
      <c r="S11" s="122">
        <f>'base_Suivi autre'!G14</f>
        <v>0</v>
      </c>
      <c r="T11" s="122">
        <f>'base_Suivi autre'!H14</f>
        <v>0</v>
      </c>
      <c r="U11" s="122">
        <f>'base_Suivi autre'!I14</f>
        <v>0</v>
      </c>
      <c r="V11" s="122">
        <f>'base_Suivi autre'!J14</f>
        <v>0</v>
      </c>
      <c r="W11" s="122">
        <f>'base_Suivi autre'!K14</f>
        <v>0</v>
      </c>
      <c r="X11" s="122">
        <f>'base_Suivi autre'!L14</f>
        <v>0</v>
      </c>
      <c r="Y11" s="122">
        <f>'base_Suivi autre'!M14</f>
        <v>0</v>
      </c>
      <c r="Z11" s="30">
        <f>'base_Suivi autre'!N14</f>
        <v>0.98684210526315785</v>
      </c>
      <c r="AA11" s="30"/>
      <c r="AB11" s="32"/>
      <c r="AE11" s="570"/>
      <c r="AF11" s="570"/>
      <c r="AG11" s="591"/>
      <c r="AH11" s="26">
        <v>1</v>
      </c>
      <c r="AI11" s="26" t="s">
        <v>84</v>
      </c>
      <c r="AJ11" s="27" t="s">
        <v>85</v>
      </c>
      <c r="AK11" s="28" t="s">
        <v>4</v>
      </c>
      <c r="AL11" s="145" t="s">
        <v>86</v>
      </c>
      <c r="AM11" s="29" t="s">
        <v>79</v>
      </c>
      <c r="AN11" s="33" t="s">
        <v>87</v>
      </c>
      <c r="AO11" s="30">
        <v>1</v>
      </c>
      <c r="AP11" s="30" t="s">
        <v>88</v>
      </c>
      <c r="AQ11" s="33" t="s">
        <v>81</v>
      </c>
      <c r="AR11" s="33" t="s">
        <v>82</v>
      </c>
      <c r="AS11" s="122">
        <v>1</v>
      </c>
      <c r="AT11" s="122">
        <v>0.96153846153846156</v>
      </c>
      <c r="AU11" s="122">
        <v>0.96153846153846156</v>
      </c>
      <c r="AV11" s="122">
        <v>0.94666666666666666</v>
      </c>
      <c r="AW11" s="122">
        <v>0.96</v>
      </c>
      <c r="AX11" s="122">
        <v>0.94736842105263153</v>
      </c>
      <c r="AY11" s="122">
        <v>0.96052631578947367</v>
      </c>
      <c r="AZ11" s="122">
        <v>0.96052631578947367</v>
      </c>
      <c r="BA11" s="122">
        <v>0.95652173913043481</v>
      </c>
      <c r="BB11" s="122">
        <v>0.95652173913043481</v>
      </c>
      <c r="BC11" s="122">
        <v>0</v>
      </c>
      <c r="BD11" s="122">
        <v>0</v>
      </c>
      <c r="BE11" s="30">
        <v>0.95652173913043481</v>
      </c>
      <c r="BF11" s="30">
        <v>1</v>
      </c>
      <c r="BG11" s="32">
        <v>0</v>
      </c>
      <c r="BH11" s="30"/>
    </row>
    <row r="12" spans="1:62" s="235" customFormat="1">
      <c r="A12" s="570"/>
      <c r="B12" s="570"/>
      <c r="C12" s="591"/>
      <c r="D12" s="238">
        <v>1</v>
      </c>
      <c r="E12" s="238" t="s">
        <v>89</v>
      </c>
      <c r="F12" s="239" t="s">
        <v>90</v>
      </c>
      <c r="G12" s="240" t="s">
        <v>4</v>
      </c>
      <c r="H12" s="241" t="s">
        <v>86</v>
      </c>
      <c r="I12" s="242">
        <v>45930</v>
      </c>
      <c r="J12" s="243" t="s">
        <v>91</v>
      </c>
      <c r="K12" s="525">
        <v>1</v>
      </c>
      <c r="L12" s="243" t="s">
        <v>92</v>
      </c>
      <c r="M12" s="247" t="s">
        <v>82</v>
      </c>
      <c r="N12" s="245">
        <f>'base_Suivi autre'!B24</f>
        <v>0</v>
      </c>
      <c r="O12" s="245">
        <f>'base_Suivi autre'!C24</f>
        <v>0</v>
      </c>
      <c r="P12" s="245">
        <f>'base_Suivi autre'!D24</f>
        <v>0</v>
      </c>
      <c r="Q12" s="245">
        <f>'base_Suivi autre'!E24</f>
        <v>0</v>
      </c>
      <c r="R12" s="245">
        <f>'base_Suivi autre'!F24</f>
        <v>0</v>
      </c>
      <c r="S12" s="245">
        <f>'base_Suivi autre'!G24</f>
        <v>0</v>
      </c>
      <c r="T12" s="245">
        <f>'base_Suivi autre'!H24</f>
        <v>0</v>
      </c>
      <c r="U12" s="245">
        <f>'base_Suivi autre'!I24</f>
        <v>0</v>
      </c>
      <c r="V12" s="245">
        <f>'base_Suivi autre'!J24</f>
        <v>0</v>
      </c>
      <c r="W12" s="245">
        <f>'base_Suivi autre'!K24</f>
        <v>0</v>
      </c>
      <c r="X12" s="245">
        <f>'base_Suivi autre'!L24</f>
        <v>0</v>
      </c>
      <c r="Y12" s="245">
        <f>'base_Suivi autre'!M24</f>
        <v>0</v>
      </c>
      <c r="Z12" s="246">
        <f>'base_Suivi autre'!N24</f>
        <v>0</v>
      </c>
      <c r="AA12" s="244"/>
      <c r="AB12" s="446"/>
      <c r="AE12" s="570"/>
      <c r="AF12" s="570"/>
      <c r="AG12" s="591"/>
      <c r="AH12" s="238">
        <v>1</v>
      </c>
      <c r="AI12" s="238" t="s">
        <v>89</v>
      </c>
      <c r="AJ12" s="239" t="s">
        <v>90</v>
      </c>
      <c r="AK12" s="240" t="s">
        <v>4</v>
      </c>
      <c r="AL12" s="241" t="s">
        <v>86</v>
      </c>
      <c r="AM12" s="242">
        <v>45930</v>
      </c>
      <c r="AN12" s="243" t="s">
        <v>91</v>
      </c>
      <c r="AO12" s="244">
        <v>1</v>
      </c>
      <c r="AP12" s="244" t="s">
        <v>83</v>
      </c>
      <c r="AQ12" s="243" t="s">
        <v>92</v>
      </c>
      <c r="AR12" s="247" t="s">
        <v>82</v>
      </c>
      <c r="AS12" s="245">
        <v>0</v>
      </c>
      <c r="AT12" s="245">
        <v>0</v>
      </c>
      <c r="AU12" s="245">
        <v>0</v>
      </c>
      <c r="AV12" s="245">
        <v>0</v>
      </c>
      <c r="AW12" s="245">
        <v>0</v>
      </c>
      <c r="AX12" s="245">
        <v>0</v>
      </c>
      <c r="AY12" s="245">
        <v>0</v>
      </c>
      <c r="AZ12" s="245">
        <v>0.4606741573033708</v>
      </c>
      <c r="BA12" s="245">
        <v>1</v>
      </c>
      <c r="BB12" s="245">
        <v>1</v>
      </c>
      <c r="BC12" s="245">
        <v>1</v>
      </c>
      <c r="BD12" s="245">
        <v>1</v>
      </c>
      <c r="BE12" s="246">
        <v>1</v>
      </c>
      <c r="BF12" s="244">
        <v>1</v>
      </c>
      <c r="BG12" s="446">
        <v>1</v>
      </c>
      <c r="BH12" s="246"/>
    </row>
    <row r="13" spans="1:62">
      <c r="A13" s="570"/>
      <c r="B13" s="570"/>
      <c r="C13" s="591"/>
      <c r="D13" s="50">
        <v>1</v>
      </c>
      <c r="E13" s="50" t="s">
        <v>89</v>
      </c>
      <c r="F13" s="128" t="s">
        <v>93</v>
      </c>
      <c r="G13" s="145" t="s">
        <v>4</v>
      </c>
      <c r="H13" s="145" t="s">
        <v>86</v>
      </c>
      <c r="I13" s="29" t="s">
        <v>79</v>
      </c>
      <c r="J13" s="129" t="s">
        <v>94</v>
      </c>
      <c r="K13" s="130">
        <v>0</v>
      </c>
      <c r="L13" s="131" t="s">
        <v>81</v>
      </c>
      <c r="M13" s="189" t="s">
        <v>95</v>
      </c>
      <c r="N13" s="85">
        <v>2.3099999999999999E-2</v>
      </c>
      <c r="O13" s="85">
        <v>5.7692307692307696E-2</v>
      </c>
      <c r="P13" s="85">
        <v>5.7692307692307696E-2</v>
      </c>
      <c r="Q13" s="85"/>
      <c r="R13" s="85"/>
      <c r="S13" s="85"/>
      <c r="T13" s="85"/>
      <c r="U13" s="85"/>
      <c r="V13" s="85"/>
      <c r="W13" s="85"/>
      <c r="X13" s="85"/>
      <c r="Y13" s="85"/>
      <c r="Z13" s="30">
        <f t="shared" ref="Z13" si="0">IFERROR(LOOKUP(9^9,N13:Y13),0)</f>
        <v>5.7692307692307696E-2</v>
      </c>
      <c r="AA13" s="54"/>
      <c r="AB13" s="70"/>
      <c r="AE13" s="570"/>
      <c r="AF13" s="570"/>
      <c r="AG13" s="591"/>
      <c r="AH13" s="50">
        <v>1</v>
      </c>
      <c r="AI13" s="50" t="s">
        <v>89</v>
      </c>
      <c r="AJ13" s="128" t="s">
        <v>93</v>
      </c>
      <c r="AK13" s="145" t="s">
        <v>4</v>
      </c>
      <c r="AL13" s="145" t="s">
        <v>86</v>
      </c>
      <c r="AM13" s="29" t="s">
        <v>79</v>
      </c>
      <c r="AN13" s="129" t="s">
        <v>94</v>
      </c>
      <c r="AO13" s="54">
        <v>0</v>
      </c>
      <c r="AP13" s="130" t="s">
        <v>88</v>
      </c>
      <c r="AQ13" s="131" t="s">
        <v>81</v>
      </c>
      <c r="AR13" s="189" t="s">
        <v>95</v>
      </c>
      <c r="AS13" s="85">
        <v>1.2500000000000001E-2</v>
      </c>
      <c r="AT13" s="85">
        <v>1.23E-2</v>
      </c>
      <c r="AU13" s="85">
        <v>0.03</v>
      </c>
      <c r="AV13" s="85">
        <v>0.23</v>
      </c>
      <c r="AW13" s="85">
        <v>3.0800000000000001E-2</v>
      </c>
      <c r="AX13" s="85">
        <v>4.72972972972973E-2</v>
      </c>
      <c r="AY13" s="85">
        <v>2.7300000000000001E-2</v>
      </c>
      <c r="AZ13" s="85">
        <v>0</v>
      </c>
      <c r="BA13" s="85">
        <v>0</v>
      </c>
      <c r="BB13" s="85">
        <v>9.5454545454545459E-2</v>
      </c>
      <c r="BC13" s="85">
        <v>0</v>
      </c>
      <c r="BD13" s="85">
        <v>0</v>
      </c>
      <c r="BE13" s="30">
        <v>0</v>
      </c>
      <c r="BF13" s="54">
        <v>0</v>
      </c>
      <c r="BG13" s="70">
        <v>1</v>
      </c>
      <c r="BH13" s="30"/>
    </row>
    <row r="14" spans="1:62">
      <c r="A14" s="570"/>
      <c r="B14" s="570"/>
      <c r="C14" s="591" t="s">
        <v>96</v>
      </c>
      <c r="D14" s="3">
        <v>1</v>
      </c>
      <c r="E14" s="3" t="s">
        <v>97</v>
      </c>
      <c r="F14" s="42" t="s">
        <v>98</v>
      </c>
      <c r="G14" s="3">
        <v>1444</v>
      </c>
      <c r="H14" s="3" t="s">
        <v>99</v>
      </c>
      <c r="I14" s="43" t="s">
        <v>79</v>
      </c>
      <c r="J14" s="79" t="s">
        <v>100</v>
      </c>
      <c r="K14" s="526">
        <v>0</v>
      </c>
      <c r="L14" s="158" t="s">
        <v>81</v>
      </c>
      <c r="M14" s="159" t="s">
        <v>101</v>
      </c>
      <c r="N14" s="248">
        <v>51</v>
      </c>
      <c r="O14" s="248">
        <v>16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4">
        <f>IFERROR(LOOKUP(9^9,N14:Y14),0)</f>
        <v>16</v>
      </c>
      <c r="AA14" s="44"/>
      <c r="AB14" s="92"/>
      <c r="AE14" s="570"/>
      <c r="AF14" s="570"/>
      <c r="AG14" s="591" t="s">
        <v>96</v>
      </c>
      <c r="AH14" s="3">
        <v>1</v>
      </c>
      <c r="AI14" s="3" t="s">
        <v>97</v>
      </c>
      <c r="AJ14" s="42" t="s">
        <v>98</v>
      </c>
      <c r="AK14" s="3">
        <v>1444</v>
      </c>
      <c r="AL14" s="3" t="s">
        <v>99</v>
      </c>
      <c r="AM14" s="43" t="s">
        <v>79</v>
      </c>
      <c r="AN14" s="447" t="s">
        <v>102</v>
      </c>
      <c r="AO14" s="44">
        <v>0</v>
      </c>
      <c r="AP14" s="44" t="s">
        <v>83</v>
      </c>
      <c r="AQ14" s="158" t="s">
        <v>81</v>
      </c>
      <c r="AR14" s="159" t="s">
        <v>101</v>
      </c>
      <c r="AS14" s="248">
        <v>7</v>
      </c>
      <c r="AT14" s="248">
        <v>10</v>
      </c>
      <c r="AU14" s="45">
        <v>49</v>
      </c>
      <c r="AV14" s="45">
        <v>41</v>
      </c>
      <c r="AW14" s="45">
        <v>46</v>
      </c>
      <c r="AX14" s="45">
        <v>23</v>
      </c>
      <c r="AY14" s="45">
        <v>67</v>
      </c>
      <c r="AZ14" s="45">
        <v>37</v>
      </c>
      <c r="BA14" s="45">
        <v>49</v>
      </c>
      <c r="BB14" s="45">
        <v>27</v>
      </c>
      <c r="BC14" s="45">
        <v>2</v>
      </c>
      <c r="BD14" s="45">
        <v>15</v>
      </c>
      <c r="BE14" s="44">
        <v>15</v>
      </c>
      <c r="BF14" s="44">
        <v>0</v>
      </c>
      <c r="BG14" s="92">
        <v>0</v>
      </c>
      <c r="BH14" s="44"/>
    </row>
    <row r="15" spans="1:62">
      <c r="A15" s="570"/>
      <c r="B15" s="570"/>
      <c r="C15" s="564"/>
      <c r="D15" s="26" t="s">
        <v>103</v>
      </c>
      <c r="E15" s="26" t="s">
        <v>104</v>
      </c>
      <c r="F15" s="47" t="s">
        <v>105</v>
      </c>
      <c r="G15" s="149" t="s">
        <v>4</v>
      </c>
      <c r="H15" s="149" t="s">
        <v>99</v>
      </c>
      <c r="I15" s="48" t="s">
        <v>79</v>
      </c>
      <c r="J15" s="49" t="s">
        <v>106</v>
      </c>
      <c r="K15" s="135">
        <v>1</v>
      </c>
      <c r="L15" s="140" t="s">
        <v>81</v>
      </c>
      <c r="M15" s="138" t="s">
        <v>107</v>
      </c>
      <c r="N15" s="100">
        <v>1</v>
      </c>
      <c r="O15" s="100">
        <v>1</v>
      </c>
      <c r="P15" s="100">
        <v>1</v>
      </c>
      <c r="Q15" s="100"/>
      <c r="R15" s="100"/>
      <c r="S15" s="100"/>
      <c r="T15" s="100"/>
      <c r="U15" s="100"/>
      <c r="V15" s="85"/>
      <c r="W15" s="85"/>
      <c r="X15" s="85"/>
      <c r="Y15" s="100"/>
      <c r="Z15" s="30">
        <f t="shared" ref="Z15:Z20" si="1">IFERROR(LOOKUP(9^9,N15:Y15),0)</f>
        <v>1</v>
      </c>
      <c r="AA15" s="30"/>
      <c r="AB15" s="32"/>
      <c r="AE15" s="570"/>
      <c r="AF15" s="570"/>
      <c r="AG15" s="564"/>
      <c r="AH15" s="26" t="s">
        <v>103</v>
      </c>
      <c r="AI15" s="26" t="s">
        <v>104</v>
      </c>
      <c r="AJ15" s="47" t="s">
        <v>105</v>
      </c>
      <c r="AK15" s="149" t="s">
        <v>4</v>
      </c>
      <c r="AL15" s="149" t="s">
        <v>99</v>
      </c>
      <c r="AM15" s="48" t="s">
        <v>79</v>
      </c>
      <c r="AN15" s="49" t="s">
        <v>106</v>
      </c>
      <c r="AO15" s="30">
        <v>1</v>
      </c>
      <c r="AP15" s="135" t="s">
        <v>88</v>
      </c>
      <c r="AQ15" s="140" t="s">
        <v>81</v>
      </c>
      <c r="AR15" s="138" t="s">
        <v>107</v>
      </c>
      <c r="AS15" s="100">
        <v>0.99</v>
      </c>
      <c r="AT15" s="100">
        <v>0.98</v>
      </c>
      <c r="AU15" s="100">
        <v>0.99</v>
      </c>
      <c r="AV15" s="100">
        <v>0.99</v>
      </c>
      <c r="AW15" s="100">
        <v>0.99</v>
      </c>
      <c r="AX15" s="100">
        <v>0.99</v>
      </c>
      <c r="AY15" s="100">
        <v>0.99</v>
      </c>
      <c r="AZ15" s="100">
        <v>0.99</v>
      </c>
      <c r="BA15" s="85">
        <v>0.99</v>
      </c>
      <c r="BB15" s="85">
        <v>0.99</v>
      </c>
      <c r="BC15" s="85">
        <v>0.99</v>
      </c>
      <c r="BD15" s="100">
        <v>1</v>
      </c>
      <c r="BE15" s="30">
        <v>1</v>
      </c>
      <c r="BF15" s="30">
        <v>1</v>
      </c>
      <c r="BG15" s="32">
        <v>1</v>
      </c>
      <c r="BH15" s="30"/>
    </row>
    <row r="16" spans="1:62">
      <c r="A16" s="570"/>
      <c r="B16" s="570"/>
      <c r="C16" s="564"/>
      <c r="D16" s="50">
        <v>9</v>
      </c>
      <c r="E16" s="50" t="s">
        <v>76</v>
      </c>
      <c r="F16" s="51" t="s">
        <v>108</v>
      </c>
      <c r="G16" s="50">
        <v>1150</v>
      </c>
      <c r="H16" s="50" t="s">
        <v>78</v>
      </c>
      <c r="I16" s="52">
        <v>45930</v>
      </c>
      <c r="J16" s="53" t="s">
        <v>109</v>
      </c>
      <c r="K16" s="135">
        <v>1</v>
      </c>
      <c r="L16" s="53" t="s">
        <v>81</v>
      </c>
      <c r="M16" s="129" t="s">
        <v>110</v>
      </c>
      <c r="N16" s="100">
        <v>1</v>
      </c>
      <c r="O16" s="100">
        <v>1</v>
      </c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30">
        <f t="shared" si="1"/>
        <v>1</v>
      </c>
      <c r="AA16" s="54"/>
      <c r="AB16" s="70"/>
      <c r="AE16" s="570"/>
      <c r="AF16" s="570"/>
      <c r="AG16" s="564"/>
      <c r="AH16" s="50">
        <v>9</v>
      </c>
      <c r="AI16" s="50" t="s">
        <v>76</v>
      </c>
      <c r="AJ16" s="51" t="s">
        <v>108</v>
      </c>
      <c r="AK16" s="50">
        <v>1150</v>
      </c>
      <c r="AL16" s="50" t="s">
        <v>78</v>
      </c>
      <c r="AM16" s="52">
        <v>45930</v>
      </c>
      <c r="AN16" s="53" t="s">
        <v>109</v>
      </c>
      <c r="AO16" s="30">
        <v>1</v>
      </c>
      <c r="AP16" s="30" t="s">
        <v>88</v>
      </c>
      <c r="AQ16" s="53" t="s">
        <v>81</v>
      </c>
      <c r="AR16" s="129" t="s">
        <v>110</v>
      </c>
      <c r="AS16" s="100">
        <v>1</v>
      </c>
      <c r="AT16" s="100">
        <v>1</v>
      </c>
      <c r="AU16" s="100">
        <v>1</v>
      </c>
      <c r="AV16" s="100">
        <v>1</v>
      </c>
      <c r="AW16" s="100">
        <v>1</v>
      </c>
      <c r="AX16" s="100">
        <v>1</v>
      </c>
      <c r="AY16" s="100">
        <v>1</v>
      </c>
      <c r="AZ16" s="100">
        <v>1</v>
      </c>
      <c r="BA16" s="100">
        <v>1</v>
      </c>
      <c r="BB16" s="100">
        <v>1</v>
      </c>
      <c r="BC16" s="100">
        <v>1</v>
      </c>
      <c r="BD16" s="100">
        <v>1</v>
      </c>
      <c r="BE16" s="30">
        <v>1</v>
      </c>
      <c r="BF16" s="54">
        <v>1</v>
      </c>
      <c r="BG16" s="70">
        <v>1</v>
      </c>
      <c r="BH16" s="30"/>
    </row>
    <row r="17" spans="1:60">
      <c r="A17" s="570"/>
      <c r="B17" s="570"/>
      <c r="C17" s="564"/>
      <c r="D17" s="50">
        <v>9</v>
      </c>
      <c r="E17" s="50" t="s">
        <v>76</v>
      </c>
      <c r="F17" s="51" t="s">
        <v>108</v>
      </c>
      <c r="G17" s="50">
        <v>1150</v>
      </c>
      <c r="H17" s="50" t="s">
        <v>78</v>
      </c>
      <c r="I17" s="52">
        <v>45930</v>
      </c>
      <c r="J17" s="53" t="s">
        <v>111</v>
      </c>
      <c r="K17" s="135">
        <v>1</v>
      </c>
      <c r="L17" s="53" t="s">
        <v>81</v>
      </c>
      <c r="M17" s="129" t="s">
        <v>110</v>
      </c>
      <c r="N17" s="100">
        <v>1</v>
      </c>
      <c r="O17" s="100">
        <v>1</v>
      </c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30">
        <f t="shared" si="1"/>
        <v>1</v>
      </c>
      <c r="AA17" s="54"/>
      <c r="AB17" s="70"/>
      <c r="AE17" s="570"/>
      <c r="AF17" s="570"/>
      <c r="AG17" s="564"/>
      <c r="AH17" s="50">
        <v>9</v>
      </c>
      <c r="AI17" s="50" t="s">
        <v>76</v>
      </c>
      <c r="AJ17" s="51" t="s">
        <v>108</v>
      </c>
      <c r="AK17" s="50">
        <v>1150</v>
      </c>
      <c r="AL17" s="50" t="s">
        <v>78</v>
      </c>
      <c r="AM17" s="52">
        <v>45930</v>
      </c>
      <c r="AN17" s="53" t="s">
        <v>111</v>
      </c>
      <c r="AO17" s="30">
        <v>1</v>
      </c>
      <c r="AP17" s="30" t="s">
        <v>88</v>
      </c>
      <c r="AQ17" s="53" t="s">
        <v>81</v>
      </c>
      <c r="AR17" s="129" t="s">
        <v>110</v>
      </c>
      <c r="AS17" s="100">
        <v>1</v>
      </c>
      <c r="AT17" s="100">
        <v>1</v>
      </c>
      <c r="AU17" s="100">
        <v>1</v>
      </c>
      <c r="AV17" s="100">
        <v>1</v>
      </c>
      <c r="AW17" s="100">
        <v>1</v>
      </c>
      <c r="AX17" s="100">
        <v>1</v>
      </c>
      <c r="AY17" s="100">
        <v>1</v>
      </c>
      <c r="AZ17" s="100">
        <v>1</v>
      </c>
      <c r="BA17" s="100">
        <v>1</v>
      </c>
      <c r="BB17" s="100">
        <v>1</v>
      </c>
      <c r="BC17" s="100">
        <v>1</v>
      </c>
      <c r="BD17" s="100">
        <v>1</v>
      </c>
      <c r="BE17" s="30">
        <v>1</v>
      </c>
      <c r="BF17" s="54">
        <v>1</v>
      </c>
      <c r="BG17" s="70">
        <v>1</v>
      </c>
      <c r="BH17" s="30"/>
    </row>
    <row r="18" spans="1:60">
      <c r="A18" s="570"/>
      <c r="B18" s="570"/>
      <c r="C18" s="564"/>
      <c r="D18" s="50" t="s">
        <v>112</v>
      </c>
      <c r="E18" s="50" t="s">
        <v>89</v>
      </c>
      <c r="F18" s="51" t="s">
        <v>113</v>
      </c>
      <c r="G18" s="147">
        <v>1444</v>
      </c>
      <c r="H18" s="147" t="s">
        <v>86</v>
      </c>
      <c r="I18" s="52" t="s">
        <v>79</v>
      </c>
      <c r="J18" s="53" t="s">
        <v>114</v>
      </c>
      <c r="K18" s="130">
        <v>1</v>
      </c>
      <c r="L18" s="136" t="s">
        <v>81</v>
      </c>
      <c r="M18" s="190" t="s">
        <v>115</v>
      </c>
      <c r="N18" s="57">
        <v>0.95</v>
      </c>
      <c r="O18" s="57">
        <v>0.90900000000000003</v>
      </c>
      <c r="P18" s="57">
        <v>0.90900000000000003</v>
      </c>
      <c r="Q18" s="57"/>
      <c r="R18" s="57"/>
      <c r="S18" s="57"/>
      <c r="T18" s="57"/>
      <c r="U18" s="57"/>
      <c r="V18" s="57"/>
      <c r="W18" s="57"/>
      <c r="X18" s="57"/>
      <c r="Y18" s="55"/>
      <c r="Z18" s="56">
        <f t="shared" si="1"/>
        <v>0.90900000000000003</v>
      </c>
      <c r="AA18" s="56"/>
      <c r="AB18" s="39"/>
      <c r="AE18" s="570"/>
      <c r="AF18" s="570"/>
      <c r="AG18" s="564"/>
      <c r="AH18" s="50" t="s">
        <v>112</v>
      </c>
      <c r="AI18" s="50" t="s">
        <v>89</v>
      </c>
      <c r="AJ18" s="51" t="s">
        <v>113</v>
      </c>
      <c r="AK18" s="147">
        <v>1444</v>
      </c>
      <c r="AL18" s="147" t="s">
        <v>86</v>
      </c>
      <c r="AM18" s="52" t="s">
        <v>79</v>
      </c>
      <c r="AN18" s="53" t="s">
        <v>114</v>
      </c>
      <c r="AO18" s="54">
        <v>1</v>
      </c>
      <c r="AP18" s="135" t="s">
        <v>88</v>
      </c>
      <c r="AQ18" s="136" t="s">
        <v>81</v>
      </c>
      <c r="AR18" s="190" t="s">
        <v>115</v>
      </c>
      <c r="AS18" s="57">
        <v>0.95</v>
      </c>
      <c r="AT18" s="57">
        <v>0.95</v>
      </c>
      <c r="AU18" s="57">
        <v>0.90500000000000003</v>
      </c>
      <c r="AV18" s="57">
        <v>0.90500000000000003</v>
      </c>
      <c r="AW18" s="57">
        <v>0.92900000000000005</v>
      </c>
      <c r="AX18" s="57">
        <v>0.92900000000000005</v>
      </c>
      <c r="AY18" s="57">
        <v>0.92900000000000005</v>
      </c>
      <c r="AZ18" s="57">
        <v>0.92900000000000005</v>
      </c>
      <c r="BA18" s="57">
        <v>0.92900000000000005</v>
      </c>
      <c r="BB18" s="57">
        <v>0.92900000000000005</v>
      </c>
      <c r="BC18" s="57">
        <v>0.95199999999999996</v>
      </c>
      <c r="BD18" s="55">
        <v>0.95199999999999996</v>
      </c>
      <c r="BE18" s="56">
        <v>0.95199999999999996</v>
      </c>
      <c r="BF18" s="56">
        <v>1</v>
      </c>
      <c r="BG18" s="39">
        <v>0</v>
      </c>
      <c r="BH18" s="56"/>
    </row>
    <row r="19" spans="1:60" ht="15" customHeight="1">
      <c r="A19" s="570"/>
      <c r="B19" s="570"/>
      <c r="C19" s="591" t="s">
        <v>116</v>
      </c>
      <c r="D19" s="3">
        <v>1</v>
      </c>
      <c r="E19" s="3" t="s">
        <v>84</v>
      </c>
      <c r="F19" s="58" t="s">
        <v>117</v>
      </c>
      <c r="G19" s="59">
        <v>1444</v>
      </c>
      <c r="H19" s="59" t="s">
        <v>86</v>
      </c>
      <c r="I19" s="60" t="s">
        <v>79</v>
      </c>
      <c r="J19" s="61" t="s">
        <v>118</v>
      </c>
      <c r="K19" s="527">
        <v>0.61</v>
      </c>
      <c r="L19" s="61" t="s">
        <v>92</v>
      </c>
      <c r="M19" s="61" t="s">
        <v>119</v>
      </c>
      <c r="N19" s="63">
        <v>0.5714285714285714</v>
      </c>
      <c r="O19" s="63">
        <v>0.5714285714285714</v>
      </c>
      <c r="P19" s="63">
        <v>0.5714285714285714</v>
      </c>
      <c r="Q19" s="63"/>
      <c r="R19" s="63"/>
      <c r="S19" s="63"/>
      <c r="T19" s="63"/>
      <c r="U19" s="63"/>
      <c r="V19" s="63"/>
      <c r="W19" s="63"/>
      <c r="X19" s="63"/>
      <c r="Y19" s="63"/>
      <c r="Z19" s="25">
        <f t="shared" si="1"/>
        <v>0.5714285714285714</v>
      </c>
      <c r="AA19" s="62"/>
      <c r="AB19" s="13"/>
      <c r="AE19" s="570"/>
      <c r="AF19" s="570"/>
      <c r="AG19" s="591" t="s">
        <v>116</v>
      </c>
      <c r="AH19" s="3">
        <v>1</v>
      </c>
      <c r="AI19" s="3" t="s">
        <v>84</v>
      </c>
      <c r="AJ19" s="58" t="s">
        <v>117</v>
      </c>
      <c r="AK19" s="59">
        <v>1444</v>
      </c>
      <c r="AL19" s="59" t="s">
        <v>86</v>
      </c>
      <c r="AM19" s="60" t="s">
        <v>79</v>
      </c>
      <c r="AN19" s="61" t="s">
        <v>118</v>
      </c>
      <c r="AO19" s="62">
        <v>0.61</v>
      </c>
      <c r="AP19" s="62" t="s">
        <v>88</v>
      </c>
      <c r="AQ19" s="61" t="s">
        <v>92</v>
      </c>
      <c r="AR19" s="61" t="s">
        <v>119</v>
      </c>
      <c r="AS19" s="63">
        <v>0</v>
      </c>
      <c r="AT19" s="63">
        <v>0</v>
      </c>
      <c r="AU19" s="63">
        <v>0.1</v>
      </c>
      <c r="AV19" s="63">
        <v>0.17</v>
      </c>
      <c r="AW19" s="63">
        <v>0.15</v>
      </c>
      <c r="AX19" s="63">
        <v>0.13</v>
      </c>
      <c r="AY19" s="63">
        <v>0.24</v>
      </c>
      <c r="AZ19" s="63">
        <v>0.32</v>
      </c>
      <c r="BA19" s="63">
        <v>0.35714285714285715</v>
      </c>
      <c r="BB19" s="63">
        <v>0.35714285714285715</v>
      </c>
      <c r="BC19" s="63">
        <v>0.38</v>
      </c>
      <c r="BD19" s="63">
        <v>0.42</v>
      </c>
      <c r="BE19" s="25">
        <v>0.42</v>
      </c>
      <c r="BF19" s="62">
        <v>0.61</v>
      </c>
      <c r="BG19" s="13">
        <v>0</v>
      </c>
      <c r="BH19" s="25"/>
    </row>
    <row r="20" spans="1:60">
      <c r="A20" s="570"/>
      <c r="B20" s="570"/>
      <c r="C20" s="591"/>
      <c r="D20" s="26">
        <v>1</v>
      </c>
      <c r="E20" s="26" t="s">
        <v>89</v>
      </c>
      <c r="F20" s="27" t="s">
        <v>120</v>
      </c>
      <c r="G20" s="148">
        <v>1444</v>
      </c>
      <c r="H20" s="148" t="s">
        <v>86</v>
      </c>
      <c r="I20" s="29" t="s">
        <v>79</v>
      </c>
      <c r="J20" s="64" t="s">
        <v>121</v>
      </c>
      <c r="K20" s="137">
        <v>1</v>
      </c>
      <c r="L20" s="138" t="s">
        <v>81</v>
      </c>
      <c r="M20" s="138" t="s">
        <v>122</v>
      </c>
      <c r="N20" s="66">
        <v>0.16</v>
      </c>
      <c r="O20" s="66">
        <v>0.2</v>
      </c>
      <c r="P20" s="549"/>
      <c r="Q20" s="66"/>
      <c r="R20" s="66"/>
      <c r="S20" s="66"/>
      <c r="T20" s="66"/>
      <c r="U20" s="66"/>
      <c r="V20" s="66"/>
      <c r="W20" s="66"/>
      <c r="X20" s="66"/>
      <c r="Y20" s="66"/>
      <c r="Z20" s="30">
        <f t="shared" si="1"/>
        <v>0.2</v>
      </c>
      <c r="AA20" s="65"/>
      <c r="AB20" s="93"/>
      <c r="AE20" s="570"/>
      <c r="AF20" s="570"/>
      <c r="AG20" s="591"/>
      <c r="AH20" s="26">
        <v>1</v>
      </c>
      <c r="AI20" s="26" t="s">
        <v>89</v>
      </c>
      <c r="AJ20" s="27" t="s">
        <v>120</v>
      </c>
      <c r="AK20" s="148">
        <v>1444</v>
      </c>
      <c r="AL20" s="148" t="s">
        <v>86</v>
      </c>
      <c r="AM20" s="29" t="s">
        <v>79</v>
      </c>
      <c r="AN20" s="64" t="s">
        <v>121</v>
      </c>
      <c r="AO20" s="65">
        <v>1</v>
      </c>
      <c r="AP20" s="137" t="s">
        <v>88</v>
      </c>
      <c r="AQ20" s="138" t="s">
        <v>81</v>
      </c>
      <c r="AR20" s="138" t="s">
        <v>122</v>
      </c>
      <c r="AS20" s="66">
        <v>0.12</v>
      </c>
      <c r="AT20" s="66">
        <v>0.17</v>
      </c>
      <c r="AU20" s="66">
        <v>0.23</v>
      </c>
      <c r="AV20" s="66">
        <v>0.28000000000000003</v>
      </c>
      <c r="AW20" s="66">
        <v>0.42</v>
      </c>
      <c r="AX20" s="66">
        <v>0.55000000000000004</v>
      </c>
      <c r="AY20" s="66">
        <v>0.63</v>
      </c>
      <c r="AZ20" s="66">
        <v>0.73</v>
      </c>
      <c r="BA20" s="66">
        <v>0.82</v>
      </c>
      <c r="BB20" s="66">
        <v>0.96</v>
      </c>
      <c r="BC20" s="66">
        <v>0.98</v>
      </c>
      <c r="BD20" s="66">
        <v>1.1499999999999999</v>
      </c>
      <c r="BE20" s="30">
        <v>1.1499999999999999</v>
      </c>
      <c r="BF20" s="65">
        <v>1</v>
      </c>
      <c r="BG20" s="93">
        <v>1</v>
      </c>
      <c r="BH20" s="30"/>
    </row>
    <row r="21" spans="1:60">
      <c r="A21" s="570"/>
      <c r="B21" s="570"/>
      <c r="C21" s="591"/>
      <c r="D21" s="26">
        <v>1</v>
      </c>
      <c r="E21" s="26" t="s">
        <v>84</v>
      </c>
      <c r="F21" s="27" t="s">
        <v>123</v>
      </c>
      <c r="G21" s="148" t="s">
        <v>4</v>
      </c>
      <c r="H21" s="148" t="s">
        <v>86</v>
      </c>
      <c r="I21" s="29" t="s">
        <v>79</v>
      </c>
      <c r="J21" s="64" t="s">
        <v>124</v>
      </c>
      <c r="K21" s="137">
        <v>0.71</v>
      </c>
      <c r="L21" s="138" t="s">
        <v>81</v>
      </c>
      <c r="M21" s="138" t="s">
        <v>125</v>
      </c>
      <c r="N21" s="66">
        <v>0.5115562880371386</v>
      </c>
      <c r="O21" s="66">
        <v>0.5115562880371386</v>
      </c>
      <c r="P21" s="549"/>
      <c r="Q21" s="66"/>
      <c r="R21" s="66"/>
      <c r="S21" s="66"/>
      <c r="T21" s="66"/>
      <c r="U21" s="66"/>
      <c r="V21" s="66"/>
      <c r="W21" s="66"/>
      <c r="X21" s="66"/>
      <c r="Y21" s="66"/>
      <c r="Z21" s="30">
        <f>IFERROR(LOOKUP(9^9,N21:Y21),0)</f>
        <v>0.5115562880371386</v>
      </c>
      <c r="AA21" s="65"/>
      <c r="AB21" s="93"/>
      <c r="AE21" s="570"/>
      <c r="AF21" s="570"/>
      <c r="AG21" s="591"/>
      <c r="AH21" s="26">
        <v>1</v>
      </c>
      <c r="AI21" s="26" t="s">
        <v>89</v>
      </c>
      <c r="AJ21" s="27" t="s">
        <v>123</v>
      </c>
      <c r="AK21" s="148" t="s">
        <v>4</v>
      </c>
      <c r="AL21" s="148" t="s">
        <v>86</v>
      </c>
      <c r="AM21" s="29" t="s">
        <v>79</v>
      </c>
      <c r="AN21" s="64" t="s">
        <v>124</v>
      </c>
      <c r="AO21" s="65">
        <v>0.71</v>
      </c>
      <c r="AP21" s="137" t="s">
        <v>88</v>
      </c>
      <c r="AQ21" s="138" t="s">
        <v>81</v>
      </c>
      <c r="AR21" s="138" t="s">
        <v>125</v>
      </c>
      <c r="AS21" s="66">
        <v>0.52</v>
      </c>
      <c r="AT21" s="66">
        <v>0.56999999999999995</v>
      </c>
      <c r="AU21" s="66">
        <v>0.62</v>
      </c>
      <c r="AV21" s="66">
        <v>0.57999999999999996</v>
      </c>
      <c r="AW21" s="66">
        <v>0.61</v>
      </c>
      <c r="AX21" s="66">
        <v>0.62</v>
      </c>
      <c r="AY21" s="66">
        <v>0.63</v>
      </c>
      <c r="AZ21" s="66">
        <v>0.63050544535304198</v>
      </c>
      <c r="BA21" s="66">
        <v>0.62</v>
      </c>
      <c r="BB21" s="66">
        <v>0.62</v>
      </c>
      <c r="BC21" s="66">
        <v>0.59</v>
      </c>
      <c r="BD21" s="66">
        <v>0.59</v>
      </c>
      <c r="BE21" s="30">
        <v>0.59</v>
      </c>
      <c r="BF21" s="65">
        <v>0.71</v>
      </c>
      <c r="BG21" s="93">
        <v>0</v>
      </c>
      <c r="BH21" s="30"/>
    </row>
    <row r="22" spans="1:60">
      <c r="A22" s="570"/>
      <c r="B22" s="570"/>
      <c r="C22" s="591"/>
      <c r="D22" s="26" t="s">
        <v>126</v>
      </c>
      <c r="E22" s="26" t="s">
        <v>84</v>
      </c>
      <c r="F22" s="47" t="s">
        <v>127</v>
      </c>
      <c r="G22" s="26">
        <v>1444</v>
      </c>
      <c r="H22" s="26" t="s">
        <v>86</v>
      </c>
      <c r="I22" s="48" t="s">
        <v>79</v>
      </c>
      <c r="J22" s="67" t="s">
        <v>128</v>
      </c>
      <c r="K22" s="267">
        <v>13</v>
      </c>
      <c r="L22" s="67" t="s">
        <v>81</v>
      </c>
      <c r="M22" s="138" t="s">
        <v>129</v>
      </c>
      <c r="N22" s="251">
        <v>1</v>
      </c>
      <c r="O22" s="251">
        <v>0</v>
      </c>
      <c r="P22" s="251">
        <v>0</v>
      </c>
      <c r="Q22" s="251"/>
      <c r="R22" s="69"/>
      <c r="S22" s="251"/>
      <c r="T22" s="69"/>
      <c r="U22" s="69"/>
      <c r="V22" s="69"/>
      <c r="W22" s="69"/>
      <c r="X22" s="69"/>
      <c r="Y22" s="69"/>
      <c r="Z22" s="32">
        <f>SUM(N22:Y22)</f>
        <v>1</v>
      </c>
      <c r="AA22" s="32"/>
      <c r="AB22" s="32"/>
      <c r="AE22" s="570"/>
      <c r="AF22" s="570"/>
      <c r="AG22" s="591"/>
      <c r="AH22" s="26" t="s">
        <v>126</v>
      </c>
      <c r="AI22" s="26" t="s">
        <v>84</v>
      </c>
      <c r="AJ22" s="47" t="s">
        <v>127</v>
      </c>
      <c r="AK22" s="26">
        <v>1444</v>
      </c>
      <c r="AL22" s="26" t="s">
        <v>86</v>
      </c>
      <c r="AM22" s="48" t="s">
        <v>79</v>
      </c>
      <c r="AN22" s="67" t="s">
        <v>128</v>
      </c>
      <c r="AO22" s="68">
        <v>12</v>
      </c>
      <c r="AP22" s="93" t="s">
        <v>88</v>
      </c>
      <c r="AQ22" s="67" t="s">
        <v>81</v>
      </c>
      <c r="AR22" s="138" t="s">
        <v>129</v>
      </c>
      <c r="AS22" s="251">
        <v>1</v>
      </c>
      <c r="AT22" s="251">
        <v>1</v>
      </c>
      <c r="AU22" s="251">
        <v>0</v>
      </c>
      <c r="AV22" s="251">
        <v>2</v>
      </c>
      <c r="AW22" s="69">
        <v>0</v>
      </c>
      <c r="AX22" s="251">
        <v>1</v>
      </c>
      <c r="AY22" s="69">
        <v>0</v>
      </c>
      <c r="AZ22" s="69">
        <v>2</v>
      </c>
      <c r="BA22" s="69">
        <v>4</v>
      </c>
      <c r="BB22" s="69">
        <v>0</v>
      </c>
      <c r="BC22" s="69">
        <v>1</v>
      </c>
      <c r="BD22" s="69">
        <v>1</v>
      </c>
      <c r="BE22" s="32">
        <v>13</v>
      </c>
      <c r="BF22" s="32">
        <v>13</v>
      </c>
      <c r="BG22" s="32">
        <v>1</v>
      </c>
      <c r="BH22" s="32"/>
    </row>
    <row r="23" spans="1:60">
      <c r="A23" s="570"/>
      <c r="B23" s="570"/>
      <c r="C23" s="591"/>
      <c r="D23" s="72">
        <v>2</v>
      </c>
      <c r="E23" s="72" t="s">
        <v>84</v>
      </c>
      <c r="F23" s="73" t="s">
        <v>130</v>
      </c>
      <c r="G23" s="72">
        <v>1444</v>
      </c>
      <c r="H23" s="72" t="s">
        <v>86</v>
      </c>
      <c r="I23" s="74" t="s">
        <v>79</v>
      </c>
      <c r="J23" s="75" t="s">
        <v>131</v>
      </c>
      <c r="K23" s="264">
        <v>0</v>
      </c>
      <c r="L23" s="75" t="s">
        <v>81</v>
      </c>
      <c r="M23" s="154" t="s">
        <v>129</v>
      </c>
      <c r="N23" s="151">
        <v>5</v>
      </c>
      <c r="O23" s="151">
        <v>0</v>
      </c>
      <c r="P23" s="151">
        <v>1</v>
      </c>
      <c r="Q23" s="151"/>
      <c r="R23" s="77"/>
      <c r="S23" s="151"/>
      <c r="T23" s="77"/>
      <c r="U23" s="77"/>
      <c r="V23" s="77"/>
      <c r="W23" s="77"/>
      <c r="X23" s="77"/>
      <c r="Y23" s="77"/>
      <c r="Z23" s="153">
        <f>SUM(N23:Y23)</f>
        <v>6</v>
      </c>
      <c r="AA23" s="153"/>
      <c r="AB23" s="153"/>
      <c r="AE23" s="570"/>
      <c r="AF23" s="570"/>
      <c r="AG23" s="591"/>
      <c r="AH23" s="72">
        <v>2</v>
      </c>
      <c r="AI23" s="72" t="s">
        <v>84</v>
      </c>
      <c r="AJ23" s="73" t="s">
        <v>130</v>
      </c>
      <c r="AK23" s="72">
        <v>1444</v>
      </c>
      <c r="AL23" s="72" t="s">
        <v>86</v>
      </c>
      <c r="AM23" s="74" t="s">
        <v>79</v>
      </c>
      <c r="AN23" s="75" t="s">
        <v>131</v>
      </c>
      <c r="AO23" s="76">
        <v>0</v>
      </c>
      <c r="AP23" s="104" t="s">
        <v>83</v>
      </c>
      <c r="AQ23" s="75" t="s">
        <v>81</v>
      </c>
      <c r="AR23" s="154" t="s">
        <v>129</v>
      </c>
      <c r="AS23" s="151">
        <v>0</v>
      </c>
      <c r="AT23" s="151">
        <v>0</v>
      </c>
      <c r="AU23" s="151">
        <v>2</v>
      </c>
      <c r="AV23" s="151">
        <v>0</v>
      </c>
      <c r="AW23" s="77">
        <v>4</v>
      </c>
      <c r="AX23" s="151">
        <v>0</v>
      </c>
      <c r="AY23" s="77">
        <v>0</v>
      </c>
      <c r="AZ23" s="77">
        <v>0</v>
      </c>
      <c r="BA23" s="77">
        <v>0</v>
      </c>
      <c r="BB23" s="77">
        <v>0</v>
      </c>
      <c r="BC23" s="77">
        <v>0</v>
      </c>
      <c r="BD23" s="77">
        <v>0</v>
      </c>
      <c r="BE23" s="153">
        <v>6</v>
      </c>
      <c r="BF23" s="153">
        <v>0</v>
      </c>
      <c r="BG23" s="153">
        <v>0</v>
      </c>
      <c r="BH23" s="153"/>
    </row>
    <row r="24" spans="1:60">
      <c r="A24" s="78"/>
      <c r="C24" s="1"/>
      <c r="D24" s="78"/>
      <c r="E24" s="78"/>
      <c r="G24" s="174"/>
      <c r="H24" s="175"/>
      <c r="I24" s="176"/>
      <c r="J24" s="177"/>
      <c r="K24" s="177"/>
      <c r="L24" s="177"/>
      <c r="M24" s="178"/>
      <c r="N24" s="177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5"/>
      <c r="AE24" s="78"/>
      <c r="AF24" s="1"/>
      <c r="AG24" s="1"/>
      <c r="AH24" s="78"/>
      <c r="AI24" s="78"/>
      <c r="AK24" s="174"/>
      <c r="AL24" s="175"/>
      <c r="AM24" s="176"/>
      <c r="AN24" s="177"/>
      <c r="AO24" s="177"/>
      <c r="AP24" s="279" t="s">
        <v>88</v>
      </c>
      <c r="AQ24" s="177"/>
      <c r="AR24" s="178"/>
      <c r="AS24" s="177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5"/>
      <c r="BH24" s="46"/>
    </row>
    <row r="25" spans="1:60">
      <c r="A25" s="78"/>
      <c r="C25" s="1"/>
      <c r="D25" s="78"/>
      <c r="E25" s="78"/>
      <c r="G25" s="174"/>
      <c r="H25" s="175"/>
      <c r="I25" s="176"/>
      <c r="J25" s="177"/>
      <c r="K25" s="177"/>
      <c r="L25" s="177"/>
      <c r="M25" s="178"/>
      <c r="N25" s="177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5"/>
      <c r="AE25" s="78"/>
      <c r="AF25" s="1"/>
      <c r="AG25" s="1"/>
      <c r="AH25" s="78"/>
      <c r="AI25" s="78"/>
      <c r="AK25" s="174"/>
      <c r="AL25" s="175"/>
      <c r="AM25" s="176"/>
      <c r="AN25" s="177"/>
      <c r="AO25" s="177"/>
      <c r="AP25" s="279" t="s">
        <v>88</v>
      </c>
      <c r="AQ25" s="177"/>
      <c r="AR25" s="178"/>
      <c r="AS25" s="177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5"/>
      <c r="BH25" s="46"/>
    </row>
    <row r="26" spans="1:60" s="203" customFormat="1">
      <c r="A26" s="571">
        <v>2</v>
      </c>
      <c r="B26" s="571" t="s">
        <v>132</v>
      </c>
      <c r="C26" s="590" t="s">
        <v>133</v>
      </c>
      <c r="D26" s="192">
        <v>1</v>
      </c>
      <c r="E26" s="192" t="s">
        <v>89</v>
      </c>
      <c r="F26" s="193" t="s">
        <v>134</v>
      </c>
      <c r="G26" s="194">
        <v>1444</v>
      </c>
      <c r="H26" s="194" t="s">
        <v>86</v>
      </c>
      <c r="I26" s="195">
        <v>45930</v>
      </c>
      <c r="J26" s="196" t="s">
        <v>135</v>
      </c>
      <c r="K26" s="198">
        <v>2</v>
      </c>
      <c r="L26" s="199" t="s">
        <v>136</v>
      </c>
      <c r="M26" s="200" t="s">
        <v>137</v>
      </c>
      <c r="N26" s="201" t="s">
        <v>88</v>
      </c>
      <c r="O26" s="201" t="s">
        <v>88</v>
      </c>
      <c r="P26" s="201" t="s">
        <v>88</v>
      </c>
      <c r="Q26" s="201" t="s">
        <v>88</v>
      </c>
      <c r="R26" s="202"/>
      <c r="S26" s="201" t="s">
        <v>88</v>
      </c>
      <c r="T26" s="201" t="s">
        <v>88</v>
      </c>
      <c r="U26" s="201" t="s">
        <v>88</v>
      </c>
      <c r="V26" s="201" t="s">
        <v>88</v>
      </c>
      <c r="W26" s="201" t="s">
        <v>88</v>
      </c>
      <c r="X26" s="202"/>
      <c r="Y26" s="201" t="s">
        <v>88</v>
      </c>
      <c r="Z26" s="197">
        <f t="shared" ref="Z26:Z28" si="2">SUM(N26:Y26)</f>
        <v>0</v>
      </c>
      <c r="AA26" s="197"/>
      <c r="AB26" s="197"/>
      <c r="AE26" s="571">
        <v>2</v>
      </c>
      <c r="AF26" s="571" t="s">
        <v>138</v>
      </c>
      <c r="AG26" s="590" t="s">
        <v>139</v>
      </c>
      <c r="AH26" s="192">
        <v>1</v>
      </c>
      <c r="AI26" s="192" t="s">
        <v>89</v>
      </c>
      <c r="AJ26" s="193" t="s">
        <v>134</v>
      </c>
      <c r="AK26" s="194">
        <v>1444</v>
      </c>
      <c r="AL26" s="194" t="s">
        <v>86</v>
      </c>
      <c r="AM26" s="195">
        <v>45930</v>
      </c>
      <c r="AN26" s="196" t="s">
        <v>135</v>
      </c>
      <c r="AO26" s="197">
        <v>2</v>
      </c>
      <c r="AP26" s="198" t="s">
        <v>88</v>
      </c>
      <c r="AQ26" s="199" t="s">
        <v>136</v>
      </c>
      <c r="AR26" s="200" t="s">
        <v>137</v>
      </c>
      <c r="AS26" s="201" t="s">
        <v>88</v>
      </c>
      <c r="AT26" s="201" t="s">
        <v>88</v>
      </c>
      <c r="AU26" s="201" t="s">
        <v>88</v>
      </c>
      <c r="AV26" s="201" t="s">
        <v>88</v>
      </c>
      <c r="AW26" s="202">
        <v>1</v>
      </c>
      <c r="AX26" s="201" t="s">
        <v>88</v>
      </c>
      <c r="AY26" s="201" t="s">
        <v>88</v>
      </c>
      <c r="AZ26" s="201" t="s">
        <v>88</v>
      </c>
      <c r="BA26" s="201" t="s">
        <v>88</v>
      </c>
      <c r="BB26" s="201" t="s">
        <v>88</v>
      </c>
      <c r="BC26" s="202">
        <v>1</v>
      </c>
      <c r="BD26" s="201" t="s">
        <v>88</v>
      </c>
      <c r="BE26" s="197">
        <v>2</v>
      </c>
      <c r="BF26" s="197">
        <v>2</v>
      </c>
      <c r="BG26" s="197">
        <v>1</v>
      </c>
      <c r="BH26" s="197"/>
    </row>
    <row r="27" spans="1:60">
      <c r="A27" s="572"/>
      <c r="B27" s="572"/>
      <c r="C27" s="590"/>
      <c r="D27" s="26">
        <v>1</v>
      </c>
      <c r="E27" s="26" t="s">
        <v>89</v>
      </c>
      <c r="F27" s="47" t="s">
        <v>140</v>
      </c>
      <c r="G27" s="149" t="s">
        <v>141</v>
      </c>
      <c r="H27" s="149" t="s">
        <v>86</v>
      </c>
      <c r="I27" s="48" t="s">
        <v>79</v>
      </c>
      <c r="J27" s="49" t="s">
        <v>142</v>
      </c>
      <c r="K27" s="139">
        <v>0</v>
      </c>
      <c r="L27" s="140" t="s">
        <v>81</v>
      </c>
      <c r="M27" s="141" t="s">
        <v>143</v>
      </c>
      <c r="N27" s="34">
        <v>0</v>
      </c>
      <c r="O27" s="34">
        <v>0</v>
      </c>
      <c r="P27" s="34">
        <v>0</v>
      </c>
      <c r="Q27" s="34"/>
      <c r="R27" s="34"/>
      <c r="S27" s="34"/>
      <c r="T27" s="34"/>
      <c r="U27" s="34"/>
      <c r="V27" s="34"/>
      <c r="W27" s="34"/>
      <c r="X27" s="34"/>
      <c r="Y27" s="34"/>
      <c r="Z27" s="32">
        <f t="shared" ref="Z27" si="3">SUM(N27:Y27)</f>
        <v>0</v>
      </c>
      <c r="AA27" s="32"/>
      <c r="AB27" s="32"/>
      <c r="AE27" s="572"/>
      <c r="AF27" s="572"/>
      <c r="AG27" s="590"/>
      <c r="AH27" s="26">
        <v>1</v>
      </c>
      <c r="AI27" s="26" t="s">
        <v>89</v>
      </c>
      <c r="AJ27" s="47" t="s">
        <v>140</v>
      </c>
      <c r="AK27" s="149" t="s">
        <v>141</v>
      </c>
      <c r="AL27" s="149" t="s">
        <v>86</v>
      </c>
      <c r="AM27" s="48" t="s">
        <v>79</v>
      </c>
      <c r="AN27" s="49" t="s">
        <v>142</v>
      </c>
      <c r="AO27" s="32">
        <v>0</v>
      </c>
      <c r="AP27" s="139" t="s">
        <v>83</v>
      </c>
      <c r="AQ27" s="140" t="s">
        <v>81</v>
      </c>
      <c r="AR27" s="141" t="s">
        <v>143</v>
      </c>
      <c r="AS27" s="34">
        <v>0</v>
      </c>
      <c r="AT27" s="34">
        <v>1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>
        <v>0</v>
      </c>
      <c r="BB27" s="34">
        <v>0</v>
      </c>
      <c r="BC27" s="34">
        <v>0</v>
      </c>
      <c r="BD27" s="34">
        <v>0</v>
      </c>
      <c r="BE27" s="32">
        <v>1</v>
      </c>
      <c r="BF27" s="32">
        <v>0</v>
      </c>
      <c r="BG27" s="32">
        <v>0</v>
      </c>
      <c r="BH27" s="32"/>
    </row>
    <row r="28" spans="1:60">
      <c r="A28" s="572"/>
      <c r="B28" s="572"/>
      <c r="C28" s="590"/>
      <c r="D28" s="26">
        <v>1</v>
      </c>
      <c r="E28" s="26" t="s">
        <v>89</v>
      </c>
      <c r="F28" s="73" t="s">
        <v>144</v>
      </c>
      <c r="G28" s="150" t="s">
        <v>145</v>
      </c>
      <c r="H28" s="150" t="s">
        <v>86</v>
      </c>
      <c r="I28" s="74" t="s">
        <v>79</v>
      </c>
      <c r="J28" s="81" t="s">
        <v>146</v>
      </c>
      <c r="K28" s="142">
        <v>0</v>
      </c>
      <c r="L28" s="143" t="s">
        <v>81</v>
      </c>
      <c r="M28" s="144" t="s">
        <v>147</v>
      </c>
      <c r="N28" s="83">
        <v>0</v>
      </c>
      <c r="O28" s="83">
        <v>0</v>
      </c>
      <c r="P28" s="83">
        <v>0</v>
      </c>
      <c r="Q28" s="83"/>
      <c r="R28" s="83"/>
      <c r="S28" s="83"/>
      <c r="T28" s="83"/>
      <c r="U28" s="83"/>
      <c r="V28" s="83"/>
      <c r="W28" s="34"/>
      <c r="X28" s="34"/>
      <c r="Y28" s="34"/>
      <c r="Z28" s="82">
        <f t="shared" si="2"/>
        <v>0</v>
      </c>
      <c r="AA28" s="82"/>
      <c r="AB28" s="82"/>
      <c r="AE28" s="572"/>
      <c r="AF28" s="572"/>
      <c r="AG28" s="590"/>
      <c r="AH28" s="26">
        <v>1</v>
      </c>
      <c r="AI28" s="26" t="s">
        <v>89</v>
      </c>
      <c r="AJ28" s="73" t="s">
        <v>144</v>
      </c>
      <c r="AK28" s="150" t="s">
        <v>145</v>
      </c>
      <c r="AL28" s="150" t="s">
        <v>86</v>
      </c>
      <c r="AM28" s="74" t="s">
        <v>79</v>
      </c>
      <c r="AN28" s="81" t="s">
        <v>146</v>
      </c>
      <c r="AO28" s="82">
        <v>0</v>
      </c>
      <c r="AP28" s="142" t="s">
        <v>83</v>
      </c>
      <c r="AQ28" s="143" t="s">
        <v>81</v>
      </c>
      <c r="AR28" s="144" t="s">
        <v>147</v>
      </c>
      <c r="AS28" s="83">
        <v>0</v>
      </c>
      <c r="AT28" s="83">
        <v>0</v>
      </c>
      <c r="AU28" s="83">
        <v>0</v>
      </c>
      <c r="AV28" s="83">
        <v>0</v>
      </c>
      <c r="AW28" s="83">
        <v>0</v>
      </c>
      <c r="AX28" s="83">
        <v>0</v>
      </c>
      <c r="AY28" s="83">
        <v>0</v>
      </c>
      <c r="AZ28" s="83">
        <v>0</v>
      </c>
      <c r="BA28" s="83">
        <v>0</v>
      </c>
      <c r="BB28" s="34">
        <v>0</v>
      </c>
      <c r="BC28" s="34">
        <v>0</v>
      </c>
      <c r="BD28" s="34">
        <v>2</v>
      </c>
      <c r="BE28" s="82">
        <v>2</v>
      </c>
      <c r="BF28" s="82">
        <v>0</v>
      </c>
      <c r="BG28" s="82">
        <v>0</v>
      </c>
      <c r="BH28" s="82"/>
    </row>
    <row r="29" spans="1:60">
      <c r="A29" s="572"/>
      <c r="B29" s="572"/>
      <c r="C29" s="591" t="s">
        <v>148</v>
      </c>
      <c r="D29" s="3" t="s">
        <v>149</v>
      </c>
      <c r="E29" s="3" t="s">
        <v>97</v>
      </c>
      <c r="F29" s="42" t="s">
        <v>150</v>
      </c>
      <c r="G29" s="3">
        <v>1444</v>
      </c>
      <c r="H29" s="3" t="s">
        <v>99</v>
      </c>
      <c r="I29" s="43" t="s">
        <v>79</v>
      </c>
      <c r="J29" s="79" t="s">
        <v>151</v>
      </c>
      <c r="K29" s="528">
        <v>0.94</v>
      </c>
      <c r="L29" s="79" t="s">
        <v>81</v>
      </c>
      <c r="M29" s="160" t="s">
        <v>152</v>
      </c>
      <c r="N29" s="24">
        <v>0.91300000000000003</v>
      </c>
      <c r="O29" s="24">
        <v>0.92200000000000004</v>
      </c>
      <c r="P29" s="24">
        <v>0.95199999999999996</v>
      </c>
      <c r="Q29" s="24"/>
      <c r="R29" s="24"/>
      <c r="S29" s="24"/>
      <c r="T29" s="24"/>
      <c r="U29" s="24"/>
      <c r="V29" s="24"/>
      <c r="W29" s="108"/>
      <c r="X29" s="108"/>
      <c r="Y29" s="108"/>
      <c r="Z29" s="25">
        <f>IFERROR(LOOKUP(9^9,N29:Y29),0)</f>
        <v>0.95199999999999996</v>
      </c>
      <c r="AA29" s="25"/>
      <c r="AB29" s="92"/>
      <c r="AE29" s="572"/>
      <c r="AF29" s="572"/>
      <c r="AG29" s="591" t="s">
        <v>148</v>
      </c>
      <c r="AH29" s="3" t="s">
        <v>149</v>
      </c>
      <c r="AI29" s="3" t="s">
        <v>97</v>
      </c>
      <c r="AJ29" s="42" t="s">
        <v>150</v>
      </c>
      <c r="AK29" s="3">
        <v>1444</v>
      </c>
      <c r="AL29" s="3" t="s">
        <v>99</v>
      </c>
      <c r="AM29" s="43" t="s">
        <v>79</v>
      </c>
      <c r="AN29" s="79" t="s">
        <v>151</v>
      </c>
      <c r="AO29" s="25">
        <v>0.94</v>
      </c>
      <c r="AP29" s="25" t="s">
        <v>88</v>
      </c>
      <c r="AQ29" s="79" t="s">
        <v>81</v>
      </c>
      <c r="AR29" s="160" t="s">
        <v>152</v>
      </c>
      <c r="AS29" s="24">
        <v>0.89600000000000002</v>
      </c>
      <c r="AT29" s="24">
        <v>0.97299999999999998</v>
      </c>
      <c r="AU29" s="24">
        <v>0.873</v>
      </c>
      <c r="AV29" s="24">
        <v>0.93799999999999994</v>
      </c>
      <c r="AW29" s="24">
        <v>0.95599999999999996</v>
      </c>
      <c r="AX29" s="24">
        <v>0.96199999999999997</v>
      </c>
      <c r="AY29" s="24">
        <v>0.93</v>
      </c>
      <c r="AZ29" s="24">
        <v>0.96099999999999997</v>
      </c>
      <c r="BA29" s="24">
        <v>0.89900000000000002</v>
      </c>
      <c r="BB29" s="108">
        <v>0.89200000000000002</v>
      </c>
      <c r="BC29" s="108">
        <v>0.96</v>
      </c>
      <c r="BD29" s="108">
        <v>0.876</v>
      </c>
      <c r="BE29" s="25">
        <v>0.876</v>
      </c>
      <c r="BF29" s="25">
        <v>0.94</v>
      </c>
      <c r="BG29" s="92">
        <v>0</v>
      </c>
      <c r="BH29" s="25"/>
    </row>
    <row r="30" spans="1:60">
      <c r="A30" s="572"/>
      <c r="B30" s="572"/>
      <c r="C30" s="591"/>
      <c r="D30" s="26" t="s">
        <v>149</v>
      </c>
      <c r="E30" s="26" t="s">
        <v>97</v>
      </c>
      <c r="F30" s="47" t="s">
        <v>150</v>
      </c>
      <c r="G30" s="26">
        <v>1444</v>
      </c>
      <c r="H30" s="26" t="s">
        <v>99</v>
      </c>
      <c r="I30" s="48" t="s">
        <v>79</v>
      </c>
      <c r="J30" s="53" t="s">
        <v>153</v>
      </c>
      <c r="K30" s="139">
        <v>0</v>
      </c>
      <c r="L30" s="49" t="s">
        <v>81</v>
      </c>
      <c r="M30" s="33" t="s">
        <v>152</v>
      </c>
      <c r="N30" s="84">
        <v>3</v>
      </c>
      <c r="O30" s="84">
        <v>0</v>
      </c>
      <c r="P30" s="84">
        <v>0</v>
      </c>
      <c r="Q30" s="34"/>
      <c r="R30" s="34"/>
      <c r="S30" s="84"/>
      <c r="T30" s="84"/>
      <c r="U30" s="84"/>
      <c r="V30" s="84"/>
      <c r="W30" s="34"/>
      <c r="X30" s="34"/>
      <c r="Y30" s="109"/>
      <c r="Z30" s="157">
        <f>SUM(N30:Y30)</f>
        <v>3</v>
      </c>
      <c r="AA30" s="70"/>
      <c r="AB30" s="70"/>
      <c r="AE30" s="572"/>
      <c r="AF30" s="572"/>
      <c r="AG30" s="591"/>
      <c r="AH30" s="26" t="s">
        <v>149</v>
      </c>
      <c r="AI30" s="26" t="s">
        <v>97</v>
      </c>
      <c r="AJ30" s="47" t="s">
        <v>150</v>
      </c>
      <c r="AK30" s="26">
        <v>1444</v>
      </c>
      <c r="AL30" s="26" t="s">
        <v>99</v>
      </c>
      <c r="AM30" s="48" t="s">
        <v>79</v>
      </c>
      <c r="AN30" s="53" t="s">
        <v>153</v>
      </c>
      <c r="AO30" s="32">
        <v>0</v>
      </c>
      <c r="AP30" s="32" t="s">
        <v>83</v>
      </c>
      <c r="AQ30" s="49" t="s">
        <v>81</v>
      </c>
      <c r="AR30" s="33" t="s">
        <v>152</v>
      </c>
      <c r="AS30" s="84">
        <v>0</v>
      </c>
      <c r="AT30" s="84">
        <v>1</v>
      </c>
      <c r="AU30" s="84">
        <v>3</v>
      </c>
      <c r="AV30" s="34">
        <v>0</v>
      </c>
      <c r="AW30" s="34">
        <v>2</v>
      </c>
      <c r="AX30" s="84">
        <v>4</v>
      </c>
      <c r="AY30" s="84">
        <v>1</v>
      </c>
      <c r="AZ30" s="84">
        <v>1</v>
      </c>
      <c r="BA30" s="84">
        <v>1</v>
      </c>
      <c r="BB30" s="34">
        <v>3</v>
      </c>
      <c r="BC30" s="34">
        <v>1</v>
      </c>
      <c r="BD30" s="109">
        <v>3</v>
      </c>
      <c r="BE30" s="157">
        <v>20</v>
      </c>
      <c r="BF30" s="70">
        <v>0</v>
      </c>
      <c r="BG30" s="70">
        <v>0</v>
      </c>
      <c r="BH30" s="157"/>
    </row>
    <row r="31" spans="1:60" s="203" customFormat="1">
      <c r="A31" s="572"/>
      <c r="B31" s="572"/>
      <c r="C31" s="591"/>
      <c r="D31" s="204" t="s">
        <v>154</v>
      </c>
      <c r="E31" s="204" t="s">
        <v>97</v>
      </c>
      <c r="F31" s="205" t="s">
        <v>150</v>
      </c>
      <c r="G31" s="204">
        <v>1444</v>
      </c>
      <c r="H31" s="204" t="s">
        <v>99</v>
      </c>
      <c r="I31" s="206" t="s">
        <v>79</v>
      </c>
      <c r="J31" s="472" t="s">
        <v>155</v>
      </c>
      <c r="K31" s="529">
        <v>0</v>
      </c>
      <c r="L31" s="207" t="s">
        <v>81</v>
      </c>
      <c r="M31" s="212" t="s">
        <v>152</v>
      </c>
      <c r="N31" s="213"/>
      <c r="O31" s="213"/>
      <c r="P31" s="213"/>
      <c r="Q31" s="209"/>
      <c r="R31" s="209"/>
      <c r="S31" s="213"/>
      <c r="T31" s="213"/>
      <c r="U31" s="213"/>
      <c r="V31" s="213"/>
      <c r="W31" s="213"/>
      <c r="X31" s="213"/>
      <c r="Y31" s="214"/>
      <c r="Z31" s="215">
        <f>SUM(N31:Y31)</f>
        <v>0</v>
      </c>
      <c r="AA31" s="210"/>
      <c r="AB31" s="210"/>
      <c r="AE31" s="572"/>
      <c r="AF31" s="572"/>
      <c r="AG31" s="591"/>
      <c r="AH31" s="204" t="s">
        <v>154</v>
      </c>
      <c r="AI31" s="204" t="s">
        <v>97</v>
      </c>
      <c r="AJ31" s="205" t="s">
        <v>150</v>
      </c>
      <c r="AK31" s="204">
        <v>1444</v>
      </c>
      <c r="AL31" s="204" t="s">
        <v>99</v>
      </c>
      <c r="AM31" s="206" t="s">
        <v>79</v>
      </c>
      <c r="AN31" s="211" t="s">
        <v>156</v>
      </c>
      <c r="AO31" s="208">
        <v>0</v>
      </c>
      <c r="AP31" s="208" t="s">
        <v>83</v>
      </c>
      <c r="AQ31" s="207" t="s">
        <v>81</v>
      </c>
      <c r="AR31" s="212" t="s">
        <v>152</v>
      </c>
      <c r="AS31" s="213">
        <v>0</v>
      </c>
      <c r="AT31" s="213">
        <v>0</v>
      </c>
      <c r="AU31" s="213">
        <v>0</v>
      </c>
      <c r="AV31" s="209">
        <v>0</v>
      </c>
      <c r="AW31" s="209">
        <v>0</v>
      </c>
      <c r="AX31" s="213">
        <v>0</v>
      </c>
      <c r="AY31" s="213">
        <v>0</v>
      </c>
      <c r="AZ31" s="213">
        <v>0</v>
      </c>
      <c r="BA31" s="213">
        <v>2</v>
      </c>
      <c r="BB31" s="213">
        <v>4</v>
      </c>
      <c r="BC31" s="213">
        <v>2</v>
      </c>
      <c r="BD31" s="214">
        <v>2</v>
      </c>
      <c r="BE31" s="215">
        <v>10</v>
      </c>
      <c r="BF31" s="210">
        <v>0</v>
      </c>
      <c r="BG31" s="210">
        <v>0</v>
      </c>
      <c r="BH31" s="215"/>
    </row>
    <row r="32" spans="1:60" s="203" customFormat="1">
      <c r="A32" s="572"/>
      <c r="B32" s="572"/>
      <c r="C32" s="591"/>
      <c r="D32" s="216">
        <v>7</v>
      </c>
      <c r="E32" s="216" t="s">
        <v>97</v>
      </c>
      <c r="F32" s="205" t="s">
        <v>150</v>
      </c>
      <c r="G32" s="216">
        <v>1454</v>
      </c>
      <c r="H32" s="216" t="s">
        <v>99</v>
      </c>
      <c r="I32" s="206" t="s">
        <v>79</v>
      </c>
      <c r="J32" s="211" t="s">
        <v>157</v>
      </c>
      <c r="K32" s="530">
        <v>1</v>
      </c>
      <c r="L32" s="207" t="s">
        <v>81</v>
      </c>
      <c r="M32" s="220" t="s">
        <v>110</v>
      </c>
      <c r="N32" s="221">
        <v>0.01</v>
      </c>
      <c r="O32" s="221">
        <v>0.02</v>
      </c>
      <c r="P32" s="221">
        <v>0.02</v>
      </c>
      <c r="Q32" s="221"/>
      <c r="R32" s="221"/>
      <c r="S32" s="221"/>
      <c r="T32" s="221"/>
      <c r="U32" s="221"/>
      <c r="V32" s="221"/>
      <c r="W32" s="221"/>
      <c r="X32" s="221"/>
      <c r="Y32" s="221"/>
      <c r="Z32" s="222"/>
      <c r="AA32" s="219"/>
      <c r="AB32" s="210"/>
      <c r="AE32" s="572"/>
      <c r="AF32" s="572"/>
      <c r="AG32" s="591"/>
      <c r="AH32" s="216">
        <v>7</v>
      </c>
      <c r="AI32" s="216" t="s">
        <v>97</v>
      </c>
      <c r="AJ32" s="205" t="s">
        <v>150</v>
      </c>
      <c r="AK32" s="216">
        <v>1454</v>
      </c>
      <c r="AL32" s="216" t="s">
        <v>99</v>
      </c>
      <c r="AM32" s="206" t="s">
        <v>79</v>
      </c>
      <c r="AN32" s="211" t="s">
        <v>157</v>
      </c>
      <c r="AO32" s="223"/>
      <c r="AP32" s="219"/>
      <c r="AQ32" s="211"/>
      <c r="AR32" s="220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4"/>
      <c r="BF32" s="219">
        <v>1</v>
      </c>
      <c r="BG32" s="210"/>
      <c r="BH32" s="222"/>
    </row>
    <row r="33" spans="1:60" s="203" customFormat="1">
      <c r="A33" s="572"/>
      <c r="B33" s="572"/>
      <c r="C33" s="591"/>
      <c r="D33" s="216" t="s">
        <v>149</v>
      </c>
      <c r="E33" s="216" t="s">
        <v>97</v>
      </c>
      <c r="F33" s="217" t="s">
        <v>158</v>
      </c>
      <c r="G33" s="216" t="s">
        <v>4</v>
      </c>
      <c r="H33" s="216" t="s">
        <v>99</v>
      </c>
      <c r="I33" s="218" t="s">
        <v>79</v>
      </c>
      <c r="J33" s="211" t="s">
        <v>159</v>
      </c>
      <c r="K33" s="530">
        <v>1</v>
      </c>
      <c r="L33" s="211" t="s">
        <v>81</v>
      </c>
      <c r="M33" s="220" t="s">
        <v>160</v>
      </c>
      <c r="N33" s="221">
        <v>0.96</v>
      </c>
      <c r="O33" s="221">
        <v>0.96</v>
      </c>
      <c r="P33" s="221">
        <v>0.96</v>
      </c>
      <c r="Q33" s="221"/>
      <c r="R33" s="221"/>
      <c r="S33" s="221"/>
      <c r="T33" s="221"/>
      <c r="U33" s="221"/>
      <c r="V33" s="221"/>
      <c r="W33" s="221"/>
      <c r="X33" s="221"/>
      <c r="Y33" s="221"/>
      <c r="Z33" s="222">
        <f t="shared" ref="Z33:Z41" si="4">IFERROR(LOOKUP(9^9,N33:Y33),0)</f>
        <v>0.96</v>
      </c>
      <c r="AA33" s="219"/>
      <c r="AB33" s="210"/>
      <c r="AE33" s="572"/>
      <c r="AF33" s="572"/>
      <c r="AG33" s="591"/>
      <c r="AH33" s="216" t="s">
        <v>149</v>
      </c>
      <c r="AI33" s="216" t="s">
        <v>97</v>
      </c>
      <c r="AJ33" s="217" t="s">
        <v>158</v>
      </c>
      <c r="AK33" s="216" t="s">
        <v>4</v>
      </c>
      <c r="AL33" s="216" t="s">
        <v>99</v>
      </c>
      <c r="AM33" s="218" t="s">
        <v>79</v>
      </c>
      <c r="AN33" s="211" t="s">
        <v>159</v>
      </c>
      <c r="AO33" s="219">
        <v>1</v>
      </c>
      <c r="AP33" s="219" t="s">
        <v>88</v>
      </c>
      <c r="AQ33" s="211" t="s">
        <v>81</v>
      </c>
      <c r="AR33" s="220" t="s">
        <v>160</v>
      </c>
      <c r="AS33" s="221">
        <v>0.2</v>
      </c>
      <c r="AT33" s="221">
        <v>0.2</v>
      </c>
      <c r="AU33" s="221">
        <v>0.2</v>
      </c>
      <c r="AV33" s="221">
        <v>0.96</v>
      </c>
      <c r="AW33" s="221">
        <v>0.96</v>
      </c>
      <c r="AX33" s="221">
        <v>0.96</v>
      </c>
      <c r="AY33" s="221">
        <v>0.96</v>
      </c>
      <c r="AZ33" s="221">
        <v>0.96</v>
      </c>
      <c r="BA33" s="221">
        <v>0.96</v>
      </c>
      <c r="BB33" s="221">
        <v>0.96</v>
      </c>
      <c r="BC33" s="221">
        <v>0.96</v>
      </c>
      <c r="BD33" s="221">
        <v>0.96</v>
      </c>
      <c r="BE33" s="222">
        <v>0.96</v>
      </c>
      <c r="BF33" s="219">
        <v>1</v>
      </c>
      <c r="BG33" s="210">
        <v>0</v>
      </c>
      <c r="BH33" s="222"/>
    </row>
    <row r="34" spans="1:60" s="203" customFormat="1">
      <c r="A34" s="572"/>
      <c r="B34" s="572"/>
      <c r="C34" s="591"/>
      <c r="D34" s="216" t="s">
        <v>149</v>
      </c>
      <c r="E34" s="216" t="s">
        <v>161</v>
      </c>
      <c r="F34" s="217" t="s">
        <v>162</v>
      </c>
      <c r="G34" s="216" t="s">
        <v>4</v>
      </c>
      <c r="H34" s="216" t="s">
        <v>78</v>
      </c>
      <c r="I34" s="218" t="s">
        <v>79</v>
      </c>
      <c r="J34" s="211" t="s">
        <v>163</v>
      </c>
      <c r="K34" s="451">
        <v>1</v>
      </c>
      <c r="L34" s="207" t="s">
        <v>81</v>
      </c>
      <c r="M34" s="473" t="s">
        <v>164</v>
      </c>
      <c r="N34" s="221">
        <v>0.86</v>
      </c>
      <c r="O34" s="221">
        <v>0.95</v>
      </c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19"/>
      <c r="AA34" s="219"/>
      <c r="AB34" s="210"/>
      <c r="AE34" s="572"/>
      <c r="AF34" s="572"/>
      <c r="AG34" s="591"/>
      <c r="AH34" s="216" t="s">
        <v>149</v>
      </c>
      <c r="AI34" s="216" t="s">
        <v>161</v>
      </c>
      <c r="AJ34" s="217" t="s">
        <v>162</v>
      </c>
      <c r="AK34" s="216" t="s">
        <v>4</v>
      </c>
      <c r="AL34" s="216" t="s">
        <v>78</v>
      </c>
      <c r="AM34" s="218" t="s">
        <v>79</v>
      </c>
      <c r="AN34" s="211" t="s">
        <v>165</v>
      </c>
      <c r="AO34" s="223"/>
      <c r="AP34" s="219"/>
      <c r="AQ34" s="211"/>
      <c r="AR34" s="220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3"/>
      <c r="BF34" s="219">
        <v>1</v>
      </c>
      <c r="BG34" s="210"/>
      <c r="BH34" s="219"/>
    </row>
    <row r="35" spans="1:60">
      <c r="A35" s="573"/>
      <c r="B35" s="573"/>
      <c r="C35" s="591"/>
      <c r="D35" s="37" t="s">
        <v>149</v>
      </c>
      <c r="E35" s="37" t="s">
        <v>161</v>
      </c>
      <c r="F35" s="86" t="s">
        <v>162</v>
      </c>
      <c r="G35" s="165">
        <v>1444</v>
      </c>
      <c r="H35" s="165" t="s">
        <v>78</v>
      </c>
      <c r="I35" s="87">
        <v>45930</v>
      </c>
      <c r="J35" s="101" t="s">
        <v>166</v>
      </c>
      <c r="K35" s="466">
        <v>0</v>
      </c>
      <c r="L35" s="285" t="s">
        <v>92</v>
      </c>
      <c r="M35" s="134" t="s">
        <v>167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39">
        <v>0</v>
      </c>
      <c r="Z35" s="39">
        <f>Y35</f>
        <v>0</v>
      </c>
      <c r="AA35" s="39"/>
      <c r="AB35" s="39"/>
      <c r="AE35" s="573"/>
      <c r="AF35" s="573"/>
      <c r="AG35" s="591"/>
      <c r="AH35" s="37" t="s">
        <v>149</v>
      </c>
      <c r="AI35" s="37" t="s">
        <v>161</v>
      </c>
      <c r="AJ35" s="86" t="s">
        <v>162</v>
      </c>
      <c r="AK35" s="165">
        <v>1444</v>
      </c>
      <c r="AL35" s="165" t="s">
        <v>78</v>
      </c>
      <c r="AM35" s="87">
        <v>45930</v>
      </c>
      <c r="AN35" s="101" t="s">
        <v>166</v>
      </c>
      <c r="AO35" s="39">
        <v>0</v>
      </c>
      <c r="AP35" s="132" t="s">
        <v>83</v>
      </c>
      <c r="AQ35" s="285" t="s">
        <v>92</v>
      </c>
      <c r="AR35" s="134" t="s">
        <v>167</v>
      </c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39">
        <v>0</v>
      </c>
      <c r="BE35" s="39">
        <v>0</v>
      </c>
      <c r="BF35" s="39">
        <v>0</v>
      </c>
      <c r="BG35" s="39">
        <v>1</v>
      </c>
      <c r="BH35" s="39"/>
    </row>
    <row r="36" spans="1:60" s="175" customFormat="1">
      <c r="A36" s="283"/>
      <c r="B36" s="283"/>
      <c r="C36" s="284"/>
      <c r="D36" s="174"/>
      <c r="E36" s="174"/>
      <c r="G36" s="174"/>
      <c r="H36" s="174"/>
      <c r="I36" s="265"/>
      <c r="J36" s="281"/>
      <c r="K36" s="280"/>
      <c r="L36" s="281"/>
      <c r="M36" s="282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280"/>
      <c r="AB36" s="280"/>
      <c r="AE36" s="283"/>
      <c r="AF36" s="283"/>
      <c r="AG36" s="284"/>
      <c r="AH36" s="174"/>
      <c r="AI36" s="174"/>
      <c r="AK36" s="174"/>
      <c r="AL36" s="174"/>
      <c r="AM36" s="265"/>
      <c r="AN36" s="281"/>
      <c r="AO36" s="280"/>
      <c r="AP36" s="280"/>
      <c r="AQ36" s="281"/>
      <c r="AR36" s="282"/>
      <c r="AS36" s="280"/>
      <c r="AT36" s="280"/>
      <c r="AU36" s="280"/>
      <c r="AV36" s="280"/>
      <c r="AW36" s="280"/>
      <c r="AX36" s="280"/>
      <c r="AY36" s="280"/>
      <c r="AZ36" s="280"/>
      <c r="BA36" s="280"/>
      <c r="BB36" s="280"/>
      <c r="BC36" s="280"/>
      <c r="BD36" s="280"/>
      <c r="BE36" s="280"/>
      <c r="BF36" s="280"/>
      <c r="BG36" s="280"/>
      <c r="BH36" s="280"/>
    </row>
    <row r="37" spans="1:60" s="175" customFormat="1">
      <c r="A37" s="283"/>
      <c r="B37" s="283"/>
      <c r="C37" s="284"/>
      <c r="D37" s="174"/>
      <c r="E37" s="174"/>
      <c r="G37" s="174"/>
      <c r="H37" s="174"/>
      <c r="I37" s="265"/>
      <c r="J37" s="281"/>
      <c r="K37" s="280"/>
      <c r="L37" s="281"/>
      <c r="M37" s="282"/>
      <c r="N37" s="280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  <c r="AA37" s="280"/>
      <c r="AB37" s="280"/>
      <c r="AE37" s="283"/>
      <c r="AF37" s="283"/>
      <c r="AG37" s="284"/>
      <c r="AH37" s="174"/>
      <c r="AI37" s="174"/>
      <c r="AK37" s="174"/>
      <c r="AL37" s="174"/>
      <c r="AM37" s="265"/>
      <c r="AN37" s="281"/>
      <c r="AO37" s="280"/>
      <c r="AP37" s="280"/>
      <c r="AQ37" s="281"/>
      <c r="AR37" s="282"/>
      <c r="AS37" s="280"/>
      <c r="AT37" s="280"/>
      <c r="AU37" s="280"/>
      <c r="AV37" s="280"/>
      <c r="AW37" s="280"/>
      <c r="AX37" s="280"/>
      <c r="AY37" s="280"/>
      <c r="AZ37" s="280"/>
      <c r="BA37" s="280"/>
      <c r="BB37" s="280"/>
      <c r="BC37" s="280"/>
      <c r="BD37" s="280"/>
      <c r="BE37" s="280"/>
      <c r="BF37" s="280"/>
      <c r="BG37" s="280"/>
      <c r="BH37" s="280"/>
    </row>
    <row r="38" spans="1:60">
      <c r="A38" s="462" t="s">
        <v>168</v>
      </c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463"/>
      <c r="O38" s="463"/>
      <c r="P38" s="463"/>
      <c r="Q38" s="463"/>
      <c r="R38" s="463"/>
      <c r="S38" s="463"/>
      <c r="T38" s="463"/>
      <c r="U38" s="463"/>
      <c r="V38" s="463"/>
      <c r="W38" s="463"/>
      <c r="X38" s="463"/>
      <c r="Y38" s="463"/>
      <c r="Z38" s="250"/>
      <c r="AA38" s="250"/>
      <c r="AB38" s="445"/>
      <c r="AE38" s="262" t="s">
        <v>168</v>
      </c>
      <c r="AF38" s="249"/>
      <c r="AG38" s="249"/>
      <c r="AH38" s="257"/>
      <c r="AI38" s="249"/>
      <c r="AJ38" s="249"/>
      <c r="AK38" s="249"/>
      <c r="AL38" s="249"/>
      <c r="AM38" s="249"/>
      <c r="AN38" s="249"/>
      <c r="AO38" s="249"/>
      <c r="AP38" s="249"/>
      <c r="AQ38" s="249"/>
      <c r="AR38" s="258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8"/>
      <c r="BF38" s="260"/>
      <c r="BG38" s="260"/>
      <c r="BH38" s="258"/>
    </row>
    <row r="39" spans="1:60">
      <c r="A39" s="571">
        <v>4</v>
      </c>
      <c r="B39" s="571" t="s">
        <v>169</v>
      </c>
      <c r="C39" s="564" t="s">
        <v>170</v>
      </c>
      <c r="D39" s="252">
        <v>3</v>
      </c>
      <c r="E39" s="123" t="s">
        <v>84</v>
      </c>
      <c r="F39" s="452" t="s">
        <v>171</v>
      </c>
      <c r="G39" s="123">
        <v>1444</v>
      </c>
      <c r="H39" s="123" t="s">
        <v>86</v>
      </c>
      <c r="I39" s="126" t="s">
        <v>79</v>
      </c>
      <c r="J39" s="124" t="s">
        <v>172</v>
      </c>
      <c r="K39" s="531">
        <v>0.96</v>
      </c>
      <c r="L39" s="124" t="s">
        <v>81</v>
      </c>
      <c r="M39" s="170" t="s">
        <v>173</v>
      </c>
      <c r="N39" s="171">
        <v>0.96536230289871028</v>
      </c>
      <c r="O39" s="171">
        <v>0.93932956640857379</v>
      </c>
      <c r="P39" s="550"/>
      <c r="Q39" s="172"/>
      <c r="R39" s="172"/>
      <c r="S39" s="172"/>
      <c r="T39" s="172"/>
      <c r="U39" s="172"/>
      <c r="V39" s="172"/>
      <c r="W39" s="172"/>
      <c r="X39" s="172"/>
      <c r="Y39" s="172"/>
      <c r="Z39" s="80">
        <f t="shared" si="4"/>
        <v>0.93932956640857379</v>
      </c>
      <c r="AA39" s="173"/>
      <c r="AB39" s="125"/>
      <c r="AE39" s="571">
        <v>4</v>
      </c>
      <c r="AF39" s="571" t="s">
        <v>169</v>
      </c>
      <c r="AG39" s="564" t="s">
        <v>174</v>
      </c>
      <c r="AH39" s="252">
        <v>3</v>
      </c>
      <c r="AI39" s="123" t="s">
        <v>84</v>
      </c>
      <c r="AJ39" s="452" t="s">
        <v>171</v>
      </c>
      <c r="AK39" s="123">
        <v>1444</v>
      </c>
      <c r="AL39" s="123" t="s">
        <v>86</v>
      </c>
      <c r="AM39" s="126" t="s">
        <v>79</v>
      </c>
      <c r="AN39" s="124" t="s">
        <v>172</v>
      </c>
      <c r="AO39" s="80">
        <v>0.93</v>
      </c>
      <c r="AP39" s="80" t="s">
        <v>88</v>
      </c>
      <c r="AQ39" s="124" t="s">
        <v>81</v>
      </c>
      <c r="AR39" s="170" t="s">
        <v>173</v>
      </c>
      <c r="AS39" s="171">
        <v>0.91</v>
      </c>
      <c r="AT39" s="171">
        <v>0.91338691087325086</v>
      </c>
      <c r="AU39" s="171">
        <v>0.92</v>
      </c>
      <c r="AV39" s="172">
        <v>0.94944167852840144</v>
      </c>
      <c r="AW39" s="172">
        <v>0.95724277195314222</v>
      </c>
      <c r="AX39" s="172">
        <v>0.95945909987708988</v>
      </c>
      <c r="AY39" s="172">
        <v>0.95930103599017913</v>
      </c>
      <c r="AZ39" s="172">
        <v>0.9598294899750367</v>
      </c>
      <c r="BA39" s="172">
        <v>0.95805716574427269</v>
      </c>
      <c r="BB39" s="172">
        <v>0.95805716574427269</v>
      </c>
      <c r="BC39" s="172">
        <v>0.95586836545236697</v>
      </c>
      <c r="BD39" s="172">
        <v>0.95586836545236697</v>
      </c>
      <c r="BE39" s="80">
        <v>0.95586836545236697</v>
      </c>
      <c r="BF39" s="173">
        <v>0.96</v>
      </c>
      <c r="BG39" s="125">
        <v>1</v>
      </c>
      <c r="BH39" s="80"/>
    </row>
    <row r="40" spans="1:60">
      <c r="A40" s="572"/>
      <c r="B40" s="572"/>
      <c r="C40" s="565"/>
      <c r="D40" s="28">
        <v>3</v>
      </c>
      <c r="E40" s="26" t="s">
        <v>84</v>
      </c>
      <c r="F40" s="453" t="s">
        <v>171</v>
      </c>
      <c r="G40" s="50">
        <v>1444</v>
      </c>
      <c r="H40" s="26" t="s">
        <v>86</v>
      </c>
      <c r="I40" s="48" t="s">
        <v>79</v>
      </c>
      <c r="J40" s="49" t="s">
        <v>175</v>
      </c>
      <c r="K40" s="130">
        <v>0.98</v>
      </c>
      <c r="L40" s="49" t="s">
        <v>81</v>
      </c>
      <c r="M40" s="155" t="s">
        <v>173</v>
      </c>
      <c r="N40" s="85">
        <v>0.99177399530352539</v>
      </c>
      <c r="O40" s="85">
        <v>0.96882372114120041</v>
      </c>
      <c r="P40" s="551"/>
      <c r="Q40" s="66"/>
      <c r="R40" s="66"/>
      <c r="S40" s="66"/>
      <c r="T40" s="66"/>
      <c r="U40" s="66"/>
      <c r="V40" s="66"/>
      <c r="W40" s="66"/>
      <c r="X40" s="66"/>
      <c r="Y40" s="66"/>
      <c r="Z40" s="54">
        <f t="shared" si="4"/>
        <v>0.96882372114120041</v>
      </c>
      <c r="AA40" s="99"/>
      <c r="AB40" s="70"/>
      <c r="AE40" s="572"/>
      <c r="AF40" s="572"/>
      <c r="AG40" s="565"/>
      <c r="AH40" s="28">
        <v>3</v>
      </c>
      <c r="AI40" s="26" t="s">
        <v>84</v>
      </c>
      <c r="AJ40" s="453" t="s">
        <v>171</v>
      </c>
      <c r="AK40" s="50">
        <v>1444</v>
      </c>
      <c r="AL40" s="26" t="s">
        <v>86</v>
      </c>
      <c r="AM40" s="48" t="s">
        <v>79</v>
      </c>
      <c r="AN40" s="49" t="s">
        <v>175</v>
      </c>
      <c r="AO40" s="54">
        <v>0.96</v>
      </c>
      <c r="AP40" s="54" t="s">
        <v>88</v>
      </c>
      <c r="AQ40" s="49" t="s">
        <v>81</v>
      </c>
      <c r="AR40" s="155" t="s">
        <v>173</v>
      </c>
      <c r="AS40" s="85">
        <v>0.94120000000000004</v>
      </c>
      <c r="AT40" s="85">
        <v>0.9412377906542202</v>
      </c>
      <c r="AU40" s="31">
        <v>0.95</v>
      </c>
      <c r="AV40" s="66">
        <v>0.97224026080511117</v>
      </c>
      <c r="AW40" s="66">
        <v>0.97822910023916798</v>
      </c>
      <c r="AX40" s="66">
        <v>0.978886131309607</v>
      </c>
      <c r="AY40" s="66">
        <v>0.97929935924306855</v>
      </c>
      <c r="AZ40" s="66">
        <v>0.9788451326871932</v>
      </c>
      <c r="BA40" s="66">
        <v>0.97972116960096556</v>
      </c>
      <c r="BB40" s="66">
        <v>0.97972116960096556</v>
      </c>
      <c r="BC40" s="66">
        <v>0.98036109208321143</v>
      </c>
      <c r="BD40" s="66">
        <v>0.98036109208321143</v>
      </c>
      <c r="BE40" s="54">
        <v>0.98036109208321143</v>
      </c>
      <c r="BF40" s="99">
        <v>0.98</v>
      </c>
      <c r="BG40" s="70">
        <v>1</v>
      </c>
      <c r="BH40" s="54"/>
    </row>
    <row r="41" spans="1:60">
      <c r="A41" s="572"/>
      <c r="B41" s="572"/>
      <c r="C41" s="565"/>
      <c r="D41" s="253">
        <v>8</v>
      </c>
      <c r="E41" s="50" t="s">
        <v>97</v>
      </c>
      <c r="F41" s="454" t="s">
        <v>176</v>
      </c>
      <c r="G41" s="50" t="s">
        <v>4</v>
      </c>
      <c r="H41" s="216" t="s">
        <v>99</v>
      </c>
      <c r="I41" s="52" t="s">
        <v>79</v>
      </c>
      <c r="J41" s="53" t="s">
        <v>177</v>
      </c>
      <c r="K41" s="474" t="s">
        <v>178</v>
      </c>
      <c r="L41" s="53" t="s">
        <v>81</v>
      </c>
      <c r="M41" s="255" t="s">
        <v>179</v>
      </c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4">
        <f t="shared" si="4"/>
        <v>0</v>
      </c>
      <c r="AA41" s="254"/>
      <c r="AB41" s="70"/>
      <c r="AE41" s="572"/>
      <c r="AF41" s="572"/>
      <c r="AG41" s="565"/>
      <c r="AH41" s="253">
        <v>8</v>
      </c>
      <c r="AI41" s="50" t="s">
        <v>97</v>
      </c>
      <c r="AJ41" s="454" t="s">
        <v>176</v>
      </c>
      <c r="AK41" s="50" t="s">
        <v>4</v>
      </c>
      <c r="AL41" s="216" t="s">
        <v>99</v>
      </c>
      <c r="AM41" s="52" t="s">
        <v>79</v>
      </c>
      <c r="AN41" s="53" t="s">
        <v>177</v>
      </c>
      <c r="AO41" s="254">
        <v>14.954524253731305</v>
      </c>
      <c r="AP41" s="254" t="s">
        <v>83</v>
      </c>
      <c r="AQ41" s="53" t="s">
        <v>81</v>
      </c>
      <c r="AR41" s="255" t="s">
        <v>179</v>
      </c>
      <c r="AS41" s="256">
        <v>27.910602709122738</v>
      </c>
      <c r="AT41" s="256">
        <v>32.486018744463955</v>
      </c>
      <c r="AU41" s="256">
        <v>27.291220910063938</v>
      </c>
      <c r="AV41" s="256">
        <v>34.130678192954797</v>
      </c>
      <c r="AW41" s="256">
        <v>30.501514136464685</v>
      </c>
      <c r="AX41" s="256">
        <v>33.041847408175691</v>
      </c>
      <c r="AY41" s="256">
        <v>20.564173809005634</v>
      </c>
      <c r="AZ41" s="256">
        <v>19.972238241347025</v>
      </c>
      <c r="BA41" s="256">
        <v>27.518844109055621</v>
      </c>
      <c r="BB41" s="256">
        <v>27.071736605919483</v>
      </c>
      <c r="BC41" s="256">
        <v>32.35</v>
      </c>
      <c r="BD41" s="256">
        <v>26.8</v>
      </c>
      <c r="BE41" s="254">
        <v>26.8</v>
      </c>
      <c r="BF41" s="254" t="s">
        <v>178</v>
      </c>
      <c r="BG41" s="70">
        <v>0</v>
      </c>
      <c r="BH41" s="254"/>
    </row>
    <row r="42" spans="1:60">
      <c r="A42" s="572"/>
      <c r="B42" s="572"/>
      <c r="C42" s="566"/>
      <c r="D42" s="37">
        <v>8</v>
      </c>
      <c r="E42" s="37" t="s">
        <v>97</v>
      </c>
      <c r="F42" s="455" t="s">
        <v>176</v>
      </c>
      <c r="G42" s="37" t="s">
        <v>4</v>
      </c>
      <c r="H42" s="216" t="s">
        <v>99</v>
      </c>
      <c r="I42" s="87" t="s">
        <v>79</v>
      </c>
      <c r="J42" s="101" t="s">
        <v>180</v>
      </c>
      <c r="K42" s="475" t="s">
        <v>178</v>
      </c>
      <c r="L42" s="101" t="s">
        <v>81</v>
      </c>
      <c r="M42" s="161" t="s">
        <v>179</v>
      </c>
      <c r="N42" s="256">
        <v>233.78</v>
      </c>
      <c r="O42" s="41">
        <v>142.4</v>
      </c>
      <c r="P42" s="41">
        <v>121.35</v>
      </c>
      <c r="Q42" s="41"/>
      <c r="R42" s="41"/>
      <c r="S42" s="41"/>
      <c r="T42" s="41"/>
      <c r="U42" s="41"/>
      <c r="V42" s="41"/>
      <c r="W42" s="41"/>
      <c r="X42" s="41"/>
      <c r="Y42" s="41"/>
      <c r="Z42" s="39">
        <f>SUM(N42:Y42)</f>
        <v>497.53</v>
      </c>
      <c r="AA42" s="102"/>
      <c r="AB42" s="39"/>
      <c r="AE42" s="572"/>
      <c r="AF42" s="572"/>
      <c r="AG42" s="566"/>
      <c r="AH42" s="37">
        <v>8</v>
      </c>
      <c r="AI42" s="37" t="s">
        <v>97</v>
      </c>
      <c r="AJ42" s="455" t="s">
        <v>176</v>
      </c>
      <c r="AK42" s="37" t="s">
        <v>4</v>
      </c>
      <c r="AL42" s="216" t="s">
        <v>99</v>
      </c>
      <c r="AM42" s="87" t="s">
        <v>79</v>
      </c>
      <c r="AN42" s="101" t="s">
        <v>180</v>
      </c>
      <c r="AO42" s="39">
        <v>1626</v>
      </c>
      <c r="AP42" s="102" t="s">
        <v>83</v>
      </c>
      <c r="AQ42" s="101" t="s">
        <v>81</v>
      </c>
      <c r="AR42" s="161" t="s">
        <v>179</v>
      </c>
      <c r="AS42" s="41">
        <v>221.83294557241385</v>
      </c>
      <c r="AT42" s="41">
        <v>161.82845265517233</v>
      </c>
      <c r="AU42" s="41">
        <v>92.045919499999968</v>
      </c>
      <c r="AV42" s="41">
        <v>170.18051910000005</v>
      </c>
      <c r="AW42" s="41">
        <v>245.18985330000007</v>
      </c>
      <c r="AX42" s="41">
        <v>255.73884979999991</v>
      </c>
      <c r="AY42" s="41">
        <v>178.44535070000003</v>
      </c>
      <c r="AZ42" s="41">
        <v>163.55415406270004</v>
      </c>
      <c r="BA42" s="41">
        <v>230.50052877999985</v>
      </c>
      <c r="BB42" s="41">
        <v>190.61638219998579</v>
      </c>
      <c r="BC42" s="41">
        <v>62</v>
      </c>
      <c r="BD42" s="41">
        <v>180</v>
      </c>
      <c r="BE42" s="39">
        <v>2151.9329556702719</v>
      </c>
      <c r="BF42" s="102" t="s">
        <v>178</v>
      </c>
      <c r="BG42" s="39">
        <v>0</v>
      </c>
      <c r="BH42" s="39"/>
    </row>
    <row r="43" spans="1:60">
      <c r="A43" s="572"/>
      <c r="B43" s="572"/>
      <c r="C43" s="570" t="s">
        <v>75</v>
      </c>
      <c r="D43" s="123">
        <v>14</v>
      </c>
      <c r="E43" s="123" t="s">
        <v>104</v>
      </c>
      <c r="F43" s="452" t="s">
        <v>181</v>
      </c>
      <c r="G43" s="123" t="s">
        <v>4</v>
      </c>
      <c r="H43" s="123" t="s">
        <v>78</v>
      </c>
      <c r="I43" s="126" t="s">
        <v>79</v>
      </c>
      <c r="J43" s="124" t="s">
        <v>182</v>
      </c>
      <c r="K43" s="349">
        <v>49</v>
      </c>
      <c r="L43" s="351" t="s">
        <v>81</v>
      </c>
      <c r="M43" s="352" t="s">
        <v>183</v>
      </c>
      <c r="N43" s="356">
        <f>'ENV_Suivi déchets'!I7</f>
        <v>0</v>
      </c>
      <c r="O43" s="356">
        <f>'ENV_Suivi déchets'!I8</f>
        <v>0</v>
      </c>
      <c r="P43" s="356">
        <f>'ENV_Suivi déchets'!I9</f>
        <v>0</v>
      </c>
      <c r="Q43" s="356">
        <f>'ENV_Suivi déchets'!I10</f>
        <v>0</v>
      </c>
      <c r="R43" s="356">
        <f>'ENV_Suivi déchets'!I11</f>
        <v>0</v>
      </c>
      <c r="S43" s="356">
        <f>'ENV_Suivi déchets'!I12</f>
        <v>0</v>
      </c>
      <c r="T43" s="356">
        <f>'ENV_Suivi déchets'!I13</f>
        <v>0</v>
      </c>
      <c r="U43" s="356">
        <f>'ENV_Suivi déchets'!I14</f>
        <v>0</v>
      </c>
      <c r="V43" s="356">
        <f>'ENV_Suivi déchets'!I15</f>
        <v>0</v>
      </c>
      <c r="W43" s="356">
        <f>'ENV_Suivi déchets'!I16</f>
        <v>0</v>
      </c>
      <c r="X43" s="356">
        <f>'ENV_Suivi déchets'!I17</f>
        <v>0</v>
      </c>
      <c r="Y43" s="356">
        <f>'ENV_Suivi déchets'!I18</f>
        <v>0</v>
      </c>
      <c r="Z43" s="125">
        <f>SUM(N43:Y43)</f>
        <v>0</v>
      </c>
      <c r="AA43" s="125"/>
      <c r="AB43" s="125"/>
      <c r="AE43" s="572"/>
      <c r="AF43" s="572"/>
      <c r="AG43" s="570" t="s">
        <v>75</v>
      </c>
      <c r="AH43" s="123">
        <v>14</v>
      </c>
      <c r="AI43" s="123" t="s">
        <v>89</v>
      </c>
      <c r="AJ43" s="452" t="s">
        <v>184</v>
      </c>
      <c r="AK43" s="123" t="s">
        <v>4</v>
      </c>
      <c r="AL43" s="123" t="s">
        <v>78</v>
      </c>
      <c r="AM43" s="126" t="s">
        <v>79</v>
      </c>
      <c r="AN43" s="124" t="s">
        <v>185</v>
      </c>
      <c r="AO43" s="349" t="s">
        <v>186</v>
      </c>
      <c r="AP43" s="350" t="s">
        <v>83</v>
      </c>
      <c r="AQ43" s="351" t="s">
        <v>81</v>
      </c>
      <c r="AR43" s="352" t="s">
        <v>183</v>
      </c>
      <c r="AS43" s="356">
        <v>0</v>
      </c>
      <c r="AT43" s="356">
        <v>0</v>
      </c>
      <c r="AU43" s="356">
        <v>0</v>
      </c>
      <c r="AV43" s="356">
        <v>0</v>
      </c>
      <c r="AW43" s="356">
        <v>0</v>
      </c>
      <c r="AX43" s="356">
        <v>0</v>
      </c>
      <c r="AY43" s="356">
        <v>0</v>
      </c>
      <c r="AZ43" s="356">
        <v>23.5</v>
      </c>
      <c r="BA43" s="356">
        <v>0</v>
      </c>
      <c r="BB43" s="356">
        <v>0</v>
      </c>
      <c r="BC43" s="356">
        <v>0</v>
      </c>
      <c r="BD43" s="356">
        <v>25</v>
      </c>
      <c r="BE43" s="125">
        <v>48.5</v>
      </c>
      <c r="BF43" s="125">
        <v>49</v>
      </c>
      <c r="BG43" s="125">
        <v>1</v>
      </c>
      <c r="BH43" s="125"/>
    </row>
    <row r="44" spans="1:60">
      <c r="A44" s="572"/>
      <c r="B44" s="572"/>
      <c r="C44" s="570"/>
      <c r="D44" s="11">
        <v>14</v>
      </c>
      <c r="E44" s="11" t="s">
        <v>104</v>
      </c>
      <c r="F44" s="515" t="s">
        <v>187</v>
      </c>
      <c r="G44" s="516" t="s">
        <v>4</v>
      </c>
      <c r="H44" s="516" t="s">
        <v>78</v>
      </c>
      <c r="I44" s="517" t="s">
        <v>79</v>
      </c>
      <c r="J44" s="518" t="s">
        <v>188</v>
      </c>
      <c r="K44" s="142">
        <f>18440*0.95</f>
        <v>17518</v>
      </c>
      <c r="L44" s="143" t="s">
        <v>189</v>
      </c>
      <c r="M44" s="520" t="s">
        <v>190</v>
      </c>
      <c r="N44" s="521">
        <f>'ENV_Suivi copies'!$K$33</f>
        <v>0</v>
      </c>
      <c r="O44" s="521">
        <f>'ENV_Suivi copies'!$K$33</f>
        <v>0</v>
      </c>
      <c r="P44" s="521">
        <f>'ENV_Suivi copies'!$K$33</f>
        <v>0</v>
      </c>
      <c r="Q44" s="521">
        <f>'ENV_Suivi copies'!$K$33</f>
        <v>0</v>
      </c>
      <c r="R44" s="521">
        <f>'ENV_Suivi copies'!$K$33</f>
        <v>0</v>
      </c>
      <c r="S44" s="521">
        <f>'ENV_Suivi copies'!$K$33</f>
        <v>0</v>
      </c>
      <c r="T44" s="521">
        <f>'ENV_Suivi copies'!$K$33</f>
        <v>0</v>
      </c>
      <c r="U44" s="521">
        <f>'ENV_Suivi copies'!$K$33</f>
        <v>0</v>
      </c>
      <c r="V44" s="521">
        <f>'ENV_Suivi copies'!$K$33</f>
        <v>0</v>
      </c>
      <c r="W44" s="521">
        <f>'ENV_Suivi copies'!$K$33</f>
        <v>0</v>
      </c>
      <c r="X44" s="521">
        <f>'ENV_Suivi copies'!$K$33</f>
        <v>0</v>
      </c>
      <c r="Y44" s="521">
        <f>'ENV_Suivi copies'!$K$33</f>
        <v>0</v>
      </c>
      <c r="Z44" s="82">
        <f>'ENV_Suivi copies'!$K$33</f>
        <v>0</v>
      </c>
      <c r="AA44" s="82"/>
      <c r="AB44" s="35"/>
      <c r="AE44" s="572"/>
      <c r="AF44" s="572"/>
      <c r="AG44" s="570"/>
      <c r="AH44" s="11"/>
      <c r="AI44" s="11"/>
      <c r="AJ44" s="515"/>
      <c r="AK44" s="516"/>
      <c r="AL44" s="516"/>
      <c r="AM44" s="517"/>
      <c r="AN44" s="518"/>
      <c r="AO44" s="142"/>
      <c r="AP44" s="519"/>
      <c r="AQ44" s="143"/>
      <c r="AR44" s="520"/>
      <c r="AS44" s="521"/>
      <c r="AT44" s="521"/>
      <c r="AU44" s="521"/>
      <c r="AV44" s="521"/>
      <c r="AW44" s="521"/>
      <c r="AX44" s="521"/>
      <c r="AY44" s="521"/>
      <c r="AZ44" s="521"/>
      <c r="BA44" s="521"/>
      <c r="BB44" s="521"/>
      <c r="BC44" s="521"/>
      <c r="BD44" s="521"/>
      <c r="BE44" s="522"/>
      <c r="BF44" s="82"/>
      <c r="BG44" s="35"/>
      <c r="BH44" s="82"/>
    </row>
    <row r="45" spans="1:60" ht="15" customHeight="1">
      <c r="A45" s="572"/>
      <c r="B45" s="572"/>
      <c r="C45" s="570"/>
      <c r="D45" s="37">
        <v>13</v>
      </c>
      <c r="E45" s="37" t="s">
        <v>89</v>
      </c>
      <c r="F45" s="456" t="s">
        <v>191</v>
      </c>
      <c r="G45" s="146" t="s">
        <v>4</v>
      </c>
      <c r="H45" s="146" t="s">
        <v>86</v>
      </c>
      <c r="I45" s="38">
        <v>45688</v>
      </c>
      <c r="J45" s="191" t="s">
        <v>192</v>
      </c>
      <c r="K45" s="132">
        <v>95</v>
      </c>
      <c r="L45" s="133" t="s">
        <v>92</v>
      </c>
      <c r="M45" s="134" t="s">
        <v>193</v>
      </c>
      <c r="N45" s="40" t="s">
        <v>88</v>
      </c>
      <c r="O45" s="40" t="s">
        <v>88</v>
      </c>
      <c r="P45" s="40" t="s">
        <v>88</v>
      </c>
      <c r="Q45" s="40" t="s">
        <v>88</v>
      </c>
      <c r="R45" s="40" t="s">
        <v>88</v>
      </c>
      <c r="S45" s="40" t="s">
        <v>88</v>
      </c>
      <c r="T45" s="286"/>
      <c r="U45" s="40" t="s">
        <v>88</v>
      </c>
      <c r="V45" s="40" t="s">
        <v>88</v>
      </c>
      <c r="W45" s="40" t="s">
        <v>88</v>
      </c>
      <c r="X45" s="40" t="s">
        <v>88</v>
      </c>
      <c r="Y45" s="40" t="s">
        <v>88</v>
      </c>
      <c r="Z45" s="39">
        <f>+T45</f>
        <v>0</v>
      </c>
      <c r="AA45" s="39"/>
      <c r="AB45" s="35"/>
      <c r="AE45" s="572"/>
      <c r="AF45" s="572"/>
      <c r="AG45" s="570"/>
      <c r="AH45" s="37">
        <v>13</v>
      </c>
      <c r="AI45" s="37" t="s">
        <v>89</v>
      </c>
      <c r="AJ45" s="456" t="s">
        <v>191</v>
      </c>
      <c r="AK45" s="146" t="s">
        <v>4</v>
      </c>
      <c r="AL45" s="146" t="s">
        <v>86</v>
      </c>
      <c r="AM45" s="38">
        <v>45688</v>
      </c>
      <c r="AN45" s="191" t="s">
        <v>194</v>
      </c>
      <c r="AO45" s="39">
        <v>70</v>
      </c>
      <c r="AP45" s="132" t="s">
        <v>88</v>
      </c>
      <c r="AQ45" s="133" t="s">
        <v>92</v>
      </c>
      <c r="AR45" s="134" t="s">
        <v>193</v>
      </c>
      <c r="AS45" s="40" t="s">
        <v>88</v>
      </c>
      <c r="AT45" s="40" t="s">
        <v>88</v>
      </c>
      <c r="AU45" s="40" t="s">
        <v>88</v>
      </c>
      <c r="AV45" s="40" t="s">
        <v>88</v>
      </c>
      <c r="AW45" s="40" t="s">
        <v>88</v>
      </c>
      <c r="AX45" s="40" t="s">
        <v>88</v>
      </c>
      <c r="AY45" s="286">
        <v>69</v>
      </c>
      <c r="AZ45" s="40" t="s">
        <v>88</v>
      </c>
      <c r="BA45" s="40" t="s">
        <v>88</v>
      </c>
      <c r="BB45" s="40" t="s">
        <v>88</v>
      </c>
      <c r="BC45" s="40" t="s">
        <v>88</v>
      </c>
      <c r="BD45" s="40" t="s">
        <v>88</v>
      </c>
      <c r="BE45" s="39">
        <v>69</v>
      </c>
      <c r="BF45" s="39">
        <v>95</v>
      </c>
      <c r="BG45" s="35"/>
      <c r="BH45" s="39"/>
    </row>
    <row r="46" spans="1:60">
      <c r="A46" s="572"/>
      <c r="B46" s="572"/>
      <c r="C46" s="570"/>
      <c r="D46" s="26">
        <v>14</v>
      </c>
      <c r="E46" s="26" t="s">
        <v>76</v>
      </c>
      <c r="F46" s="453" t="s">
        <v>195</v>
      </c>
      <c r="G46" s="26" t="s">
        <v>4</v>
      </c>
      <c r="H46" s="26" t="s">
        <v>196</v>
      </c>
      <c r="I46" s="48" t="s">
        <v>79</v>
      </c>
      <c r="J46" s="53" t="s">
        <v>197</v>
      </c>
      <c r="K46" s="530">
        <v>0</v>
      </c>
      <c r="L46" s="136" t="s">
        <v>81</v>
      </c>
      <c r="M46" s="449" t="s">
        <v>82</v>
      </c>
      <c r="N46" s="450">
        <f>'base_Suivi autre'!B40</f>
        <v>0</v>
      </c>
      <c r="O46" s="450">
        <f>'base_Suivi autre'!C40</f>
        <v>0</v>
      </c>
      <c r="P46" s="450">
        <f>'base_Suivi autre'!D40</f>
        <v>0</v>
      </c>
      <c r="Q46" s="450">
        <f>'base_Suivi autre'!E40</f>
        <v>0</v>
      </c>
      <c r="R46" s="450">
        <f>'base_Suivi autre'!F40</f>
        <v>0</v>
      </c>
      <c r="S46" s="450">
        <f>'base_Suivi autre'!G40</f>
        <v>0</v>
      </c>
      <c r="T46" s="450">
        <f>'base_Suivi autre'!H40</f>
        <v>0</v>
      </c>
      <c r="U46" s="450">
        <f>'base_Suivi autre'!I40</f>
        <v>0</v>
      </c>
      <c r="V46" s="450">
        <f>'base_Suivi autre'!J40</f>
        <v>0</v>
      </c>
      <c r="W46" s="450">
        <f>'base_Suivi autre'!K40</f>
        <v>0</v>
      </c>
      <c r="X46" s="450">
        <f>'base_Suivi autre'!L40</f>
        <v>0</v>
      </c>
      <c r="Y46" s="450">
        <f>'base_Suivi autre'!M40</f>
        <v>0</v>
      </c>
      <c r="Z46" s="32">
        <f t="shared" ref="Z46" si="5">IFERROR(LOOKUP(9^9,N46:Y46),0)</f>
        <v>0</v>
      </c>
      <c r="AA46" s="32"/>
      <c r="AB46" s="32"/>
      <c r="AE46" s="572"/>
      <c r="AF46" s="572"/>
      <c r="AG46" s="570"/>
      <c r="AH46" s="26">
        <v>14</v>
      </c>
      <c r="AI46" s="26" t="s">
        <v>89</v>
      </c>
      <c r="AJ46" s="453" t="s">
        <v>195</v>
      </c>
      <c r="AK46" s="26" t="s">
        <v>4</v>
      </c>
      <c r="AL46" s="26" t="s">
        <v>196</v>
      </c>
      <c r="AM46" s="48" t="s">
        <v>79</v>
      </c>
      <c r="AN46" s="49" t="s">
        <v>197</v>
      </c>
      <c r="AO46" s="223"/>
      <c r="AP46" s="448"/>
      <c r="AQ46" s="140"/>
      <c r="AR46" s="449"/>
      <c r="AS46" s="450"/>
      <c r="AT46" s="450"/>
      <c r="AU46" s="450"/>
      <c r="AV46" s="450"/>
      <c r="AW46" s="450"/>
      <c r="AX46" s="450"/>
      <c r="AY46" s="450"/>
      <c r="AZ46" s="450"/>
      <c r="BA46" s="450"/>
      <c r="BB46" s="450"/>
      <c r="BC46" s="450"/>
      <c r="BD46" s="450"/>
      <c r="BE46" s="156"/>
      <c r="BF46" s="32">
        <v>0</v>
      </c>
      <c r="BG46" s="32"/>
      <c r="BH46" s="32"/>
    </row>
    <row r="47" spans="1:60">
      <c r="A47" s="573"/>
      <c r="B47" s="573"/>
      <c r="C47" s="570"/>
      <c r="D47" s="72">
        <v>14</v>
      </c>
      <c r="E47" s="72" t="s">
        <v>104</v>
      </c>
      <c r="F47" s="73" t="s">
        <v>198</v>
      </c>
      <c r="G47" s="72" t="s">
        <v>4</v>
      </c>
      <c r="H47" s="72" t="s">
        <v>78</v>
      </c>
      <c r="I47" s="74" t="s">
        <v>79</v>
      </c>
      <c r="J47" s="285" t="s">
        <v>199</v>
      </c>
      <c r="K47" s="132">
        <v>46</v>
      </c>
      <c r="L47" s="285" t="s">
        <v>81</v>
      </c>
      <c r="M47" s="345" t="s">
        <v>200</v>
      </c>
      <c r="N47" s="287">
        <v>50.96</v>
      </c>
      <c r="O47" s="287">
        <v>66</v>
      </c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153">
        <f>IFERROR(LOOKUP(9^9,N47:Y47),0)</f>
        <v>66</v>
      </c>
      <c r="AA47" s="153"/>
      <c r="AB47" s="153"/>
      <c r="AE47" s="573"/>
      <c r="AF47" s="573"/>
      <c r="AG47" s="570"/>
      <c r="AH47" s="72">
        <v>14</v>
      </c>
      <c r="AI47" s="72" t="s">
        <v>89</v>
      </c>
      <c r="AJ47" s="73" t="s">
        <v>201</v>
      </c>
      <c r="AK47" s="72" t="s">
        <v>4</v>
      </c>
      <c r="AL47" s="72" t="s">
        <v>78</v>
      </c>
      <c r="AM47" s="74" t="s">
        <v>79</v>
      </c>
      <c r="AN47" s="346" t="s">
        <v>199</v>
      </c>
      <c r="AO47" s="347">
        <v>46</v>
      </c>
      <c r="AP47" s="348" t="s">
        <v>83</v>
      </c>
      <c r="AQ47" s="346"/>
      <c r="AR47" s="345" t="s">
        <v>200</v>
      </c>
      <c r="AS47" s="287">
        <v>44.9</v>
      </c>
      <c r="AT47" s="287">
        <v>46.16</v>
      </c>
      <c r="AU47" s="287">
        <v>46.06</v>
      </c>
      <c r="AV47" s="287">
        <v>39.5</v>
      </c>
      <c r="AW47" s="287">
        <v>42.25</v>
      </c>
      <c r="AX47" s="287">
        <v>44.25</v>
      </c>
      <c r="AY47" s="287">
        <v>45.88</v>
      </c>
      <c r="AZ47" s="287">
        <v>46.15</v>
      </c>
      <c r="BA47" s="287">
        <v>46.75</v>
      </c>
      <c r="BB47" s="287">
        <v>46.82</v>
      </c>
      <c r="BC47" s="287">
        <v>47</v>
      </c>
      <c r="BD47" s="287">
        <v>47.44</v>
      </c>
      <c r="BE47" s="153">
        <v>47.44</v>
      </c>
      <c r="BF47" s="153">
        <v>46</v>
      </c>
      <c r="BG47" s="153">
        <v>0</v>
      </c>
      <c r="BH47" s="153"/>
    </row>
    <row r="48" spans="1:60">
      <c r="C48" s="88"/>
      <c r="D48" s="78"/>
      <c r="E48" s="78"/>
      <c r="G48" s="78"/>
      <c r="I48" s="89"/>
      <c r="M48" s="4"/>
      <c r="AB48" s="5"/>
    </row>
    <row r="49" spans="1:60">
      <c r="C49" s="88"/>
      <c r="D49" s="78"/>
      <c r="E49" s="78"/>
      <c r="G49" s="78"/>
      <c r="I49" s="89"/>
      <c r="M49" s="4"/>
      <c r="AB49" s="5"/>
    </row>
    <row r="50" spans="1:60">
      <c r="A50" s="462" t="s">
        <v>202</v>
      </c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463"/>
      <c r="O50" s="463"/>
      <c r="P50" s="463"/>
      <c r="Q50" s="463"/>
      <c r="R50" s="463"/>
      <c r="S50" s="463"/>
      <c r="T50" s="463"/>
      <c r="U50" s="463"/>
      <c r="V50" s="463"/>
      <c r="W50" s="463"/>
      <c r="X50" s="463"/>
      <c r="Y50" s="463"/>
      <c r="Z50" s="250"/>
      <c r="AA50" s="250"/>
      <c r="AB50" s="445"/>
      <c r="AE50" s="262" t="s">
        <v>202</v>
      </c>
      <c r="AF50" s="249"/>
      <c r="AG50" s="249"/>
      <c r="AH50" s="257"/>
      <c r="AI50" s="249"/>
      <c r="AJ50" s="249"/>
      <c r="AK50" s="249"/>
      <c r="AL50" s="249"/>
      <c r="AM50" s="249"/>
      <c r="AN50" s="249"/>
      <c r="AO50" s="249"/>
      <c r="AP50" s="249"/>
      <c r="AQ50" s="249"/>
      <c r="AR50" s="258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8"/>
      <c r="BF50" s="260"/>
      <c r="BG50" s="260"/>
      <c r="BH50" s="258"/>
    </row>
    <row r="51" spans="1:60" ht="15" customHeight="1">
      <c r="A51" s="567">
        <v>3</v>
      </c>
      <c r="B51" s="567" t="s">
        <v>203</v>
      </c>
      <c r="C51" s="574" t="s">
        <v>204</v>
      </c>
      <c r="D51" s="3" t="s">
        <v>205</v>
      </c>
      <c r="E51" s="3" t="s">
        <v>206</v>
      </c>
      <c r="F51" s="42" t="s">
        <v>207</v>
      </c>
      <c r="G51" s="179">
        <v>1444</v>
      </c>
      <c r="H51" s="179" t="s">
        <v>78</v>
      </c>
      <c r="I51" s="180">
        <v>45930</v>
      </c>
      <c r="J51" s="42" t="s">
        <v>208</v>
      </c>
      <c r="K51" s="181">
        <v>6</v>
      </c>
      <c r="L51" s="182" t="s">
        <v>92</v>
      </c>
      <c r="M51" s="183" t="s">
        <v>209</v>
      </c>
      <c r="N51" s="90"/>
      <c r="O51" s="90"/>
      <c r="P51" s="91"/>
      <c r="Q51" s="90"/>
      <c r="R51" s="90"/>
      <c r="S51" s="90"/>
      <c r="T51" s="90"/>
      <c r="U51" s="90"/>
      <c r="V51" s="91"/>
      <c r="W51" s="90"/>
      <c r="X51" s="90"/>
      <c r="Y51" s="90"/>
      <c r="Z51" s="125">
        <f>SUM(N51:Y51)</f>
        <v>0</v>
      </c>
      <c r="AA51" s="3"/>
      <c r="AB51" s="13"/>
      <c r="AE51" s="567">
        <v>3</v>
      </c>
      <c r="AF51" s="567" t="s">
        <v>210</v>
      </c>
      <c r="AG51" s="574" t="s">
        <v>204</v>
      </c>
      <c r="AH51" s="3" t="s">
        <v>205</v>
      </c>
      <c r="AI51" s="3" t="s">
        <v>206</v>
      </c>
      <c r="AJ51" s="42" t="s">
        <v>207</v>
      </c>
      <c r="AK51" s="179">
        <v>1444</v>
      </c>
      <c r="AL51" s="179" t="s">
        <v>78</v>
      </c>
      <c r="AM51" s="180">
        <v>45930</v>
      </c>
      <c r="AN51" s="42" t="s">
        <v>208</v>
      </c>
      <c r="AO51" s="181">
        <v>6</v>
      </c>
      <c r="AP51" s="181" t="s">
        <v>88</v>
      </c>
      <c r="AQ51" s="182" t="s">
        <v>92</v>
      </c>
      <c r="AR51" s="183" t="s">
        <v>209</v>
      </c>
      <c r="AS51" s="90"/>
      <c r="AT51" s="90"/>
      <c r="AU51" s="91">
        <v>3</v>
      </c>
      <c r="AV51" s="90"/>
      <c r="AW51" s="90"/>
      <c r="AX51" s="90"/>
      <c r="AY51" s="90"/>
      <c r="AZ51" s="90"/>
      <c r="BA51" s="91">
        <v>3</v>
      </c>
      <c r="BB51" s="90"/>
      <c r="BC51" s="90"/>
      <c r="BD51" s="90"/>
      <c r="BE51" s="125">
        <v>6</v>
      </c>
      <c r="BF51" s="3">
        <v>6</v>
      </c>
      <c r="BG51" s="13">
        <v>1</v>
      </c>
      <c r="BH51" s="125"/>
    </row>
    <row r="52" spans="1:60">
      <c r="A52" s="568"/>
      <c r="B52" s="568"/>
      <c r="C52" s="574"/>
      <c r="D52" s="26" t="s">
        <v>205</v>
      </c>
      <c r="E52" s="26" t="s">
        <v>206</v>
      </c>
      <c r="F52" s="47" t="s">
        <v>211</v>
      </c>
      <c r="G52" s="149">
        <v>1444</v>
      </c>
      <c r="H52" s="149" t="s">
        <v>78</v>
      </c>
      <c r="I52" s="162">
        <v>45930</v>
      </c>
      <c r="J52" s="47" t="s">
        <v>212</v>
      </c>
      <c r="K52" s="163">
        <v>3</v>
      </c>
      <c r="L52" s="164" t="s">
        <v>92</v>
      </c>
      <c r="M52" s="138" t="s">
        <v>209</v>
      </c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70">
        <f>SUM(N52:Y52)</f>
        <v>0</v>
      </c>
      <c r="AA52" s="26"/>
      <c r="AB52" s="93"/>
      <c r="AE52" s="568"/>
      <c r="AF52" s="568"/>
      <c r="AG52" s="574"/>
      <c r="AH52" s="26" t="s">
        <v>205</v>
      </c>
      <c r="AI52" s="26" t="s">
        <v>206</v>
      </c>
      <c r="AJ52" s="47" t="s">
        <v>211</v>
      </c>
      <c r="AK52" s="149">
        <v>1444</v>
      </c>
      <c r="AL52" s="149" t="s">
        <v>78</v>
      </c>
      <c r="AM52" s="162">
        <v>45930</v>
      </c>
      <c r="AN52" s="47" t="s">
        <v>212</v>
      </c>
      <c r="AO52" s="163">
        <v>0</v>
      </c>
      <c r="AP52" s="163" t="s">
        <v>88</v>
      </c>
      <c r="AQ52" s="164" t="s">
        <v>92</v>
      </c>
      <c r="AR52" s="138" t="s">
        <v>209</v>
      </c>
      <c r="AS52" s="94"/>
      <c r="AT52" s="94"/>
      <c r="AU52" s="94"/>
      <c r="AV52" s="94"/>
      <c r="AW52" s="94"/>
      <c r="AX52" s="94"/>
      <c r="AY52" s="94"/>
      <c r="AZ52" s="94"/>
      <c r="BA52" s="94"/>
      <c r="BB52" s="94"/>
      <c r="BC52" s="94"/>
      <c r="BD52" s="94"/>
      <c r="BE52" s="70">
        <v>0</v>
      </c>
      <c r="BF52" s="26">
        <v>3</v>
      </c>
      <c r="BG52" s="93">
        <v>1</v>
      </c>
      <c r="BH52" s="70"/>
    </row>
    <row r="53" spans="1:60">
      <c r="A53" s="568"/>
      <c r="B53" s="568"/>
      <c r="C53" s="574"/>
      <c r="D53" s="26" t="s">
        <v>205</v>
      </c>
      <c r="E53" s="26" t="s">
        <v>206</v>
      </c>
      <c r="F53" s="51" t="s">
        <v>213</v>
      </c>
      <c r="G53" s="147">
        <v>1444</v>
      </c>
      <c r="H53" s="147" t="s">
        <v>78</v>
      </c>
      <c r="I53" s="162">
        <v>45930</v>
      </c>
      <c r="J53" s="51" t="s">
        <v>214</v>
      </c>
      <c r="K53" s="267">
        <v>2</v>
      </c>
      <c r="L53" s="268" t="s">
        <v>136</v>
      </c>
      <c r="M53" s="189"/>
      <c r="N53" s="269">
        <v>0</v>
      </c>
      <c r="O53" s="269">
        <v>1</v>
      </c>
      <c r="P53" s="269"/>
      <c r="Q53" s="269"/>
      <c r="R53" s="94"/>
      <c r="S53" s="94"/>
      <c r="T53" s="94"/>
      <c r="U53" s="94"/>
      <c r="V53" s="94"/>
      <c r="W53" s="94"/>
      <c r="X53" s="94"/>
      <c r="Y53" s="94"/>
      <c r="Z53" s="208">
        <f t="shared" ref="Z53" si="6">SUM(N53:Y53)</f>
        <v>1</v>
      </c>
      <c r="AA53" s="50"/>
      <c r="AB53" s="68"/>
      <c r="AE53" s="568"/>
      <c r="AF53" s="568"/>
      <c r="AG53" s="574"/>
      <c r="AH53" s="26" t="s">
        <v>205</v>
      </c>
      <c r="AI53" s="26" t="s">
        <v>206</v>
      </c>
      <c r="AJ53" s="51" t="s">
        <v>213</v>
      </c>
      <c r="AK53" s="147">
        <v>1444</v>
      </c>
      <c r="AL53" s="147" t="s">
        <v>78</v>
      </c>
      <c r="AM53" s="162">
        <v>45930</v>
      </c>
      <c r="AN53" s="51" t="s">
        <v>214</v>
      </c>
      <c r="AO53" s="267">
        <v>2</v>
      </c>
      <c r="AP53" s="267" t="s">
        <v>88</v>
      </c>
      <c r="AQ53" s="268" t="s">
        <v>136</v>
      </c>
      <c r="AR53" s="189"/>
      <c r="AS53" s="269">
        <v>0</v>
      </c>
      <c r="AT53" s="269">
        <v>0</v>
      </c>
      <c r="AU53" s="269">
        <v>0</v>
      </c>
      <c r="AV53" s="269">
        <v>1</v>
      </c>
      <c r="AW53" s="94"/>
      <c r="AX53" s="94"/>
      <c r="AY53" s="94"/>
      <c r="AZ53" s="94"/>
      <c r="BA53" s="94"/>
      <c r="BB53" s="94"/>
      <c r="BC53" s="94"/>
      <c r="BD53" s="94"/>
      <c r="BE53" s="208">
        <v>1</v>
      </c>
      <c r="BF53" s="50">
        <v>2</v>
      </c>
      <c r="BG53" s="68">
        <v>0</v>
      </c>
      <c r="BH53" s="208"/>
    </row>
    <row r="54" spans="1:60">
      <c r="A54" s="568"/>
      <c r="B54" s="568"/>
      <c r="C54" s="574"/>
      <c r="D54" s="37" t="s">
        <v>205</v>
      </c>
      <c r="E54" s="37" t="s">
        <v>206</v>
      </c>
      <c r="F54" s="86" t="s">
        <v>215</v>
      </c>
      <c r="G54" s="165">
        <v>1444</v>
      </c>
      <c r="H54" s="165" t="s">
        <v>78</v>
      </c>
      <c r="I54" s="166">
        <v>45930</v>
      </c>
      <c r="J54" s="86" t="s">
        <v>216</v>
      </c>
      <c r="K54" s="167">
        <v>1</v>
      </c>
      <c r="L54" s="168" t="s">
        <v>81</v>
      </c>
      <c r="M54" s="169" t="s">
        <v>217</v>
      </c>
      <c r="N54" s="103">
        <v>0</v>
      </c>
      <c r="O54" s="103">
        <v>0</v>
      </c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56">
        <f t="shared" ref="Z54" si="7">IFERROR(LOOKUP(9^9,N54:Y54),0)</f>
        <v>0</v>
      </c>
      <c r="AA54" s="95"/>
      <c r="AB54" s="76"/>
      <c r="AE54" s="568"/>
      <c r="AF54" s="568"/>
      <c r="AG54" s="574"/>
      <c r="AH54" s="37" t="s">
        <v>205</v>
      </c>
      <c r="AI54" s="37" t="s">
        <v>206</v>
      </c>
      <c r="AJ54" s="86" t="s">
        <v>215</v>
      </c>
      <c r="AK54" s="165">
        <v>1444</v>
      </c>
      <c r="AL54" s="165" t="s">
        <v>78</v>
      </c>
      <c r="AM54" s="166">
        <v>45930</v>
      </c>
      <c r="AN54" s="86" t="s">
        <v>216</v>
      </c>
      <c r="AO54" s="167">
        <v>1</v>
      </c>
      <c r="AP54" s="167" t="s">
        <v>88</v>
      </c>
      <c r="AQ54" s="168" t="s">
        <v>81</v>
      </c>
      <c r="AR54" s="169" t="s">
        <v>217</v>
      </c>
      <c r="AS54" s="103">
        <v>0</v>
      </c>
      <c r="AT54" s="103">
        <v>0</v>
      </c>
      <c r="AU54" s="103">
        <v>0.13</v>
      </c>
      <c r="AV54" s="103">
        <v>0.18</v>
      </c>
      <c r="AW54" s="103">
        <v>0.25</v>
      </c>
      <c r="AX54" s="103">
        <v>0.33</v>
      </c>
      <c r="AY54" s="103">
        <v>0.57999999999999996</v>
      </c>
      <c r="AZ54" s="103">
        <v>0.57999999999999996</v>
      </c>
      <c r="BA54" s="103">
        <v>0.57999999999999996</v>
      </c>
      <c r="BB54" s="103">
        <v>0.57999999999999996</v>
      </c>
      <c r="BC54" s="103">
        <v>0.57999999999999996</v>
      </c>
      <c r="BD54" s="103">
        <v>0.57999999999999996</v>
      </c>
      <c r="BE54" s="56">
        <v>0.57999999999999996</v>
      </c>
      <c r="BF54" s="95">
        <v>1</v>
      </c>
      <c r="BG54" s="76">
        <v>0</v>
      </c>
      <c r="BH54" s="56"/>
    </row>
    <row r="55" spans="1:60" ht="15" customHeight="1">
      <c r="A55" s="568"/>
      <c r="B55" s="568"/>
      <c r="C55" s="564" t="s">
        <v>218</v>
      </c>
      <c r="D55" s="50" t="s">
        <v>205</v>
      </c>
      <c r="E55" s="50" t="s">
        <v>206</v>
      </c>
      <c r="F55" s="51" t="s">
        <v>219</v>
      </c>
      <c r="G55" s="147">
        <v>1444</v>
      </c>
      <c r="H55" s="147" t="s">
        <v>78</v>
      </c>
      <c r="I55" s="266">
        <v>45930</v>
      </c>
      <c r="J55" s="51" t="s">
        <v>220</v>
      </c>
      <c r="K55" s="270">
        <v>0</v>
      </c>
      <c r="L55" s="271" t="s">
        <v>81</v>
      </c>
      <c r="M55" s="272" t="s">
        <v>221</v>
      </c>
      <c r="N55" s="354">
        <f>SOC_Abs!B23</f>
        <v>0</v>
      </c>
      <c r="O55" s="354">
        <f>SOC_Abs!C23</f>
        <v>0</v>
      </c>
      <c r="P55" s="354">
        <f>SOC_Abs!D23</f>
        <v>0</v>
      </c>
      <c r="Q55" s="354">
        <f>SOC_Abs!E23</f>
        <v>0</v>
      </c>
      <c r="R55" s="354">
        <f>SOC_Abs!F23</f>
        <v>0</v>
      </c>
      <c r="S55" s="354">
        <f>SOC_Abs!G23</f>
        <v>0</v>
      </c>
      <c r="T55" s="354">
        <f>SOC_Abs!H23</f>
        <v>0</v>
      </c>
      <c r="U55" s="354">
        <f>SOC_Abs!I23</f>
        <v>0</v>
      </c>
      <c r="V55" s="354">
        <f>SOC_Abs!J23</f>
        <v>0</v>
      </c>
      <c r="W55" s="354">
        <f>SOC_Abs!K23</f>
        <v>0</v>
      </c>
      <c r="X55" s="354">
        <f>SOC_Abs!L23</f>
        <v>0</v>
      </c>
      <c r="Y55" s="354">
        <f>SOC_Abs!M23</f>
        <v>0</v>
      </c>
      <c r="Z55" s="36">
        <f t="shared" ref="Z55:Z58" si="8">SUM(N55:Y55)</f>
        <v>0</v>
      </c>
      <c r="AA55" s="71"/>
      <c r="AB55" s="68"/>
      <c r="AE55" s="568"/>
      <c r="AF55" s="568"/>
      <c r="AG55" s="564" t="s">
        <v>218</v>
      </c>
      <c r="AH55" s="50" t="s">
        <v>205</v>
      </c>
      <c r="AI55" s="50" t="s">
        <v>206</v>
      </c>
      <c r="AJ55" s="51" t="s">
        <v>219</v>
      </c>
      <c r="AK55" s="147">
        <v>1444</v>
      </c>
      <c r="AL55" s="147" t="s">
        <v>78</v>
      </c>
      <c r="AM55" s="266">
        <v>45930</v>
      </c>
      <c r="AN55" s="51" t="s">
        <v>220</v>
      </c>
      <c r="AO55" s="270">
        <v>0.05</v>
      </c>
      <c r="AP55" s="270" t="s">
        <v>83</v>
      </c>
      <c r="AQ55" s="271" t="s">
        <v>81</v>
      </c>
      <c r="AR55" s="272" t="s">
        <v>221</v>
      </c>
      <c r="AS55" s="354">
        <v>0</v>
      </c>
      <c r="AT55" s="354">
        <v>0</v>
      </c>
      <c r="AU55" s="354">
        <v>0</v>
      </c>
      <c r="AV55" s="354">
        <v>0</v>
      </c>
      <c r="AW55" s="354">
        <v>0</v>
      </c>
      <c r="AX55" s="354">
        <v>0</v>
      </c>
      <c r="AY55" s="354">
        <v>0</v>
      </c>
      <c r="AZ55" s="354">
        <v>0</v>
      </c>
      <c r="BA55" s="354">
        <v>0</v>
      </c>
      <c r="BB55" s="354">
        <v>0</v>
      </c>
      <c r="BC55" s="354">
        <v>0</v>
      </c>
      <c r="BD55" s="354">
        <v>0</v>
      </c>
      <c r="BE55" s="36">
        <v>0</v>
      </c>
      <c r="BF55" s="71">
        <v>0</v>
      </c>
      <c r="BG55" s="68">
        <v>1</v>
      </c>
      <c r="BH55" s="36"/>
    </row>
    <row r="56" spans="1:60">
      <c r="A56" s="568"/>
      <c r="B56" s="568"/>
      <c r="C56" s="565"/>
      <c r="D56" s="26" t="s">
        <v>205</v>
      </c>
      <c r="E56" s="26" t="s">
        <v>206</v>
      </c>
      <c r="F56" s="47" t="s">
        <v>222</v>
      </c>
      <c r="G56" s="149">
        <v>1444</v>
      </c>
      <c r="H56" s="149" t="s">
        <v>78</v>
      </c>
      <c r="I56" s="162">
        <v>45930</v>
      </c>
      <c r="J56" s="47" t="s">
        <v>223</v>
      </c>
      <c r="K56" s="163">
        <v>1</v>
      </c>
      <c r="L56" s="277" t="s">
        <v>92</v>
      </c>
      <c r="M56" s="278" t="s">
        <v>88</v>
      </c>
      <c r="N56" s="69">
        <v>1</v>
      </c>
      <c r="O56" s="69">
        <v>1</v>
      </c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32">
        <f>SUM(N56:Y56)</f>
        <v>2</v>
      </c>
      <c r="AA56" s="93"/>
      <c r="AB56" s="93"/>
      <c r="AE56" s="568"/>
      <c r="AF56" s="568"/>
      <c r="AG56" s="565"/>
      <c r="AH56" s="26" t="s">
        <v>205</v>
      </c>
      <c r="AI56" s="26" t="s">
        <v>206</v>
      </c>
      <c r="AJ56" s="47" t="s">
        <v>222</v>
      </c>
      <c r="AK56" s="149">
        <v>1444</v>
      </c>
      <c r="AL56" s="149" t="s">
        <v>78</v>
      </c>
      <c r="AM56" s="162">
        <v>45930</v>
      </c>
      <c r="AN56" s="47" t="s">
        <v>223</v>
      </c>
      <c r="AO56" s="163">
        <v>1</v>
      </c>
      <c r="AP56" s="137" t="s">
        <v>88</v>
      </c>
      <c r="AQ56" s="277" t="s">
        <v>92</v>
      </c>
      <c r="AR56" s="278" t="s">
        <v>88</v>
      </c>
      <c r="AS56" s="69">
        <v>0</v>
      </c>
      <c r="AT56" s="69">
        <v>0</v>
      </c>
      <c r="AU56" s="69">
        <v>1</v>
      </c>
      <c r="AV56" s="69">
        <v>0</v>
      </c>
      <c r="AW56" s="69">
        <v>0</v>
      </c>
      <c r="AX56" s="69">
        <v>0</v>
      </c>
      <c r="AY56" s="69">
        <v>0</v>
      </c>
      <c r="AZ56" s="69">
        <v>0</v>
      </c>
      <c r="BA56" s="69">
        <v>0</v>
      </c>
      <c r="BB56" s="69">
        <v>0</v>
      </c>
      <c r="BC56" s="69">
        <v>0</v>
      </c>
      <c r="BD56" s="69"/>
      <c r="BE56" s="32">
        <v>1</v>
      </c>
      <c r="BF56" s="93">
        <v>1</v>
      </c>
      <c r="BG56" s="93">
        <v>1</v>
      </c>
      <c r="BH56" s="32"/>
    </row>
    <row r="57" spans="1:60">
      <c r="A57" s="568"/>
      <c r="B57" s="568"/>
      <c r="C57" s="565"/>
      <c r="D57" s="26" t="s">
        <v>205</v>
      </c>
      <c r="E57" s="26" t="s">
        <v>206</v>
      </c>
      <c r="F57" s="47" t="s">
        <v>222</v>
      </c>
      <c r="G57" s="149">
        <v>1444</v>
      </c>
      <c r="H57" s="149" t="s">
        <v>78</v>
      </c>
      <c r="I57" s="162">
        <v>45930</v>
      </c>
      <c r="J57" s="47" t="s">
        <v>224</v>
      </c>
      <c r="K57" s="137">
        <v>0</v>
      </c>
      <c r="L57" s="277" t="s">
        <v>81</v>
      </c>
      <c r="M57" s="278" t="s">
        <v>221</v>
      </c>
      <c r="N57" s="355">
        <f>SOC_Abs!B26</f>
        <v>0</v>
      </c>
      <c r="O57" s="355">
        <f>SOC_Abs!C26</f>
        <v>0</v>
      </c>
      <c r="P57" s="355">
        <f>SOC_Abs!D26</f>
        <v>0</v>
      </c>
      <c r="Q57" s="355">
        <f>SOC_Abs!E26</f>
        <v>0</v>
      </c>
      <c r="R57" s="355">
        <f>SOC_Abs!F26</f>
        <v>0</v>
      </c>
      <c r="S57" s="355">
        <f>SOC_Abs!G26</f>
        <v>0</v>
      </c>
      <c r="T57" s="355">
        <f>SOC_Abs!H26</f>
        <v>0</v>
      </c>
      <c r="U57" s="355">
        <f>SOC_Abs!I26</f>
        <v>0</v>
      </c>
      <c r="V57" s="355">
        <f>SOC_Abs!J26</f>
        <v>0</v>
      </c>
      <c r="W57" s="355">
        <f>SOC_Abs!K26</f>
        <v>0</v>
      </c>
      <c r="X57" s="355">
        <f>SOC_Abs!L26</f>
        <v>0</v>
      </c>
      <c r="Y57" s="355">
        <f>SOC_Abs!M26</f>
        <v>0</v>
      </c>
      <c r="Z57" s="30">
        <f t="shared" si="8"/>
        <v>0</v>
      </c>
      <c r="AA57" s="65"/>
      <c r="AB57" s="93"/>
      <c r="AE57" s="568"/>
      <c r="AF57" s="568"/>
      <c r="AG57" s="565"/>
      <c r="AH57" s="26" t="s">
        <v>205</v>
      </c>
      <c r="AI57" s="26" t="s">
        <v>206</v>
      </c>
      <c r="AJ57" s="47" t="s">
        <v>222</v>
      </c>
      <c r="AK57" s="149">
        <v>1444</v>
      </c>
      <c r="AL57" s="149" t="s">
        <v>78</v>
      </c>
      <c r="AM57" s="162">
        <v>45930</v>
      </c>
      <c r="AN57" s="47" t="s">
        <v>224</v>
      </c>
      <c r="AO57" s="137">
        <v>0</v>
      </c>
      <c r="AP57" s="137" t="s">
        <v>83</v>
      </c>
      <c r="AQ57" s="277" t="s">
        <v>81</v>
      </c>
      <c r="AR57" s="278" t="s">
        <v>221</v>
      </c>
      <c r="AS57" s="355">
        <v>0</v>
      </c>
      <c r="AT57" s="355">
        <v>0</v>
      </c>
      <c r="AU57" s="355">
        <v>0</v>
      </c>
      <c r="AV57" s="355">
        <v>0</v>
      </c>
      <c r="AW57" s="355">
        <v>0</v>
      </c>
      <c r="AX57" s="355">
        <v>0</v>
      </c>
      <c r="AY57" s="355">
        <v>0</v>
      </c>
      <c r="AZ57" s="355">
        <v>0</v>
      </c>
      <c r="BA57" s="355">
        <v>0</v>
      </c>
      <c r="BB57" s="355">
        <v>0</v>
      </c>
      <c r="BC57" s="355">
        <v>0</v>
      </c>
      <c r="BD57" s="355">
        <v>0</v>
      </c>
      <c r="BE57" s="30">
        <v>0</v>
      </c>
      <c r="BF57" s="65">
        <v>0</v>
      </c>
      <c r="BG57" s="93">
        <v>1</v>
      </c>
      <c r="BH57" s="30"/>
    </row>
    <row r="58" spans="1:60">
      <c r="A58" s="568"/>
      <c r="B58" s="568"/>
      <c r="C58" s="565"/>
      <c r="D58" s="26" t="s">
        <v>205</v>
      </c>
      <c r="E58" s="26" t="s">
        <v>206</v>
      </c>
      <c r="F58" s="47" t="s">
        <v>222</v>
      </c>
      <c r="G58" s="149">
        <v>1444</v>
      </c>
      <c r="H58" s="149" t="s">
        <v>78</v>
      </c>
      <c r="I58" s="162">
        <v>45930</v>
      </c>
      <c r="J58" s="47" t="s">
        <v>225</v>
      </c>
      <c r="K58" s="137">
        <v>0</v>
      </c>
      <c r="L58" s="277" t="s">
        <v>81</v>
      </c>
      <c r="M58" s="278" t="s">
        <v>221</v>
      </c>
      <c r="N58" s="355">
        <f>SOC_Abs!B25</f>
        <v>0</v>
      </c>
      <c r="O58" s="355">
        <f>SOC_Abs!C25</f>
        <v>0</v>
      </c>
      <c r="P58" s="355">
        <f>SOC_Abs!D25</f>
        <v>0</v>
      </c>
      <c r="Q58" s="355">
        <f>SOC_Abs!E25</f>
        <v>0</v>
      </c>
      <c r="R58" s="355">
        <f>SOC_Abs!F25</f>
        <v>0</v>
      </c>
      <c r="S58" s="355">
        <f>SOC_Abs!G25</f>
        <v>0</v>
      </c>
      <c r="T58" s="355">
        <f>SOC_Abs!H25</f>
        <v>0</v>
      </c>
      <c r="U58" s="355">
        <f>SOC_Abs!I25</f>
        <v>0</v>
      </c>
      <c r="V58" s="355">
        <f>SOC_Abs!J25</f>
        <v>0</v>
      </c>
      <c r="W58" s="355">
        <f>SOC_Abs!K25</f>
        <v>0</v>
      </c>
      <c r="X58" s="355">
        <f>SOC_Abs!L25</f>
        <v>0</v>
      </c>
      <c r="Y58" s="355">
        <f>SOC_Abs!M25</f>
        <v>0</v>
      </c>
      <c r="Z58" s="36">
        <f t="shared" si="8"/>
        <v>0</v>
      </c>
      <c r="AA58" s="65"/>
      <c r="AB58" s="93"/>
      <c r="AE58" s="568"/>
      <c r="AF58" s="568"/>
      <c r="AG58" s="565"/>
      <c r="AH58" s="26" t="s">
        <v>205</v>
      </c>
      <c r="AI58" s="26" t="s">
        <v>206</v>
      </c>
      <c r="AJ58" s="47" t="s">
        <v>222</v>
      </c>
      <c r="AK58" s="149">
        <v>1444</v>
      </c>
      <c r="AL58" s="149" t="s">
        <v>78</v>
      </c>
      <c r="AM58" s="162">
        <v>45930</v>
      </c>
      <c r="AN58" s="47" t="s">
        <v>225</v>
      </c>
      <c r="AO58" s="137">
        <v>0</v>
      </c>
      <c r="AP58" s="137" t="s">
        <v>83</v>
      </c>
      <c r="AQ58" s="277" t="s">
        <v>81</v>
      </c>
      <c r="AR58" s="278" t="s">
        <v>221</v>
      </c>
      <c r="AS58" s="355">
        <v>0</v>
      </c>
      <c r="AT58" s="355">
        <v>0</v>
      </c>
      <c r="AU58" s="355">
        <v>0</v>
      </c>
      <c r="AV58" s="355">
        <v>0</v>
      </c>
      <c r="AW58" s="355">
        <v>0</v>
      </c>
      <c r="AX58" s="355">
        <v>0</v>
      </c>
      <c r="AY58" s="355">
        <v>0</v>
      </c>
      <c r="AZ58" s="355">
        <v>0</v>
      </c>
      <c r="BA58" s="355">
        <v>0</v>
      </c>
      <c r="BB58" s="355">
        <v>0</v>
      </c>
      <c r="BC58" s="355">
        <v>0</v>
      </c>
      <c r="BD58" s="355">
        <v>0</v>
      </c>
      <c r="BE58" s="36">
        <v>0</v>
      </c>
      <c r="BF58" s="65">
        <v>0</v>
      </c>
      <c r="BG58" s="93">
        <v>1</v>
      </c>
      <c r="BH58" s="36"/>
    </row>
    <row r="59" spans="1:60">
      <c r="A59" s="569"/>
      <c r="B59" s="569"/>
      <c r="C59" s="566"/>
      <c r="D59" s="72" t="s">
        <v>205</v>
      </c>
      <c r="E59" s="72" t="s">
        <v>206</v>
      </c>
      <c r="F59" s="73" t="s">
        <v>226</v>
      </c>
      <c r="G59" s="150">
        <v>1444</v>
      </c>
      <c r="H59" s="150" t="s">
        <v>78</v>
      </c>
      <c r="I59" s="273">
        <v>45930</v>
      </c>
      <c r="J59" s="73" t="s">
        <v>227</v>
      </c>
      <c r="K59" s="264">
        <v>0</v>
      </c>
      <c r="L59" s="274" t="s">
        <v>81</v>
      </c>
      <c r="M59" s="275" t="s">
        <v>88</v>
      </c>
      <c r="N59" s="290">
        <v>0</v>
      </c>
      <c r="O59" s="290">
        <v>0</v>
      </c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39">
        <v>0</v>
      </c>
      <c r="AA59" s="276"/>
      <c r="AB59" s="104"/>
      <c r="AE59" s="569"/>
      <c r="AF59" s="569"/>
      <c r="AG59" s="566"/>
      <c r="AH59" s="72" t="s">
        <v>205</v>
      </c>
      <c r="AI59" s="72" t="s">
        <v>206</v>
      </c>
      <c r="AJ59" s="73" t="s">
        <v>226</v>
      </c>
      <c r="AK59" s="150">
        <v>1444</v>
      </c>
      <c r="AL59" s="150" t="s">
        <v>78</v>
      </c>
      <c r="AM59" s="273">
        <v>45930</v>
      </c>
      <c r="AN59" s="73" t="s">
        <v>227</v>
      </c>
      <c r="AO59" s="264">
        <v>0</v>
      </c>
      <c r="AP59" s="264" t="s">
        <v>88</v>
      </c>
      <c r="AQ59" s="274" t="s">
        <v>81</v>
      </c>
      <c r="AR59" s="275" t="s">
        <v>88</v>
      </c>
      <c r="AS59" s="290">
        <v>0</v>
      </c>
      <c r="AT59" s="290">
        <v>0</v>
      </c>
      <c r="AU59" s="290">
        <v>0</v>
      </c>
      <c r="AV59" s="290">
        <v>0</v>
      </c>
      <c r="AW59" s="290">
        <v>0</v>
      </c>
      <c r="AX59" s="290">
        <v>0</v>
      </c>
      <c r="AY59" s="290">
        <v>0</v>
      </c>
      <c r="AZ59" s="290">
        <v>0</v>
      </c>
      <c r="BA59" s="290">
        <v>0</v>
      </c>
      <c r="BB59" s="290">
        <v>0</v>
      </c>
      <c r="BC59" s="290">
        <v>0</v>
      </c>
      <c r="BD59" s="290">
        <v>0</v>
      </c>
      <c r="BE59" s="39">
        <v>0</v>
      </c>
      <c r="BF59" s="276">
        <v>0</v>
      </c>
      <c r="BG59" s="104">
        <v>1</v>
      </c>
      <c r="BH59" s="39"/>
    </row>
    <row r="62" spans="1:60" outlineLevel="1">
      <c r="A62" s="233" t="s">
        <v>228</v>
      </c>
      <c r="B62" s="44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60" outlineLevel="1">
      <c r="A63" s="234"/>
    </row>
    <row r="64" spans="1:60" outlineLevel="1">
      <c r="A64" s="237" t="s">
        <v>229</v>
      </c>
    </row>
    <row r="65" spans="1:5" ht="14.25" customHeight="1" outlineLevel="1">
      <c r="A65" s="464" t="s">
        <v>97</v>
      </c>
      <c r="B65" s="434" t="s">
        <v>230</v>
      </c>
    </row>
    <row r="66" spans="1:5" outlineLevel="1">
      <c r="A66" s="464"/>
      <c r="B66" s="434" t="s">
        <v>231</v>
      </c>
    </row>
    <row r="67" spans="1:5" outlineLevel="1">
      <c r="A67" s="464"/>
      <c r="B67" s="434" t="s">
        <v>232</v>
      </c>
    </row>
    <row r="68" spans="1:5" outlineLevel="1">
      <c r="A68" s="464"/>
      <c r="B68" s="434" t="s">
        <v>233</v>
      </c>
    </row>
    <row r="69" spans="1:5" outlineLevel="1">
      <c r="A69" s="464"/>
      <c r="B69" s="434" t="s">
        <v>234</v>
      </c>
    </row>
    <row r="70" spans="1:5" outlineLevel="1">
      <c r="A70" s="464"/>
      <c r="B70" s="434"/>
    </row>
    <row r="71" spans="1:5" outlineLevel="1">
      <c r="A71" s="464" t="s">
        <v>104</v>
      </c>
      <c r="B71" s="434" t="s">
        <v>235</v>
      </c>
    </row>
    <row r="72" spans="1:5" outlineLevel="1">
      <c r="A72" s="234"/>
      <c r="B72" s="434"/>
    </row>
    <row r="73" spans="1:5" outlineLevel="1">
      <c r="A73" s="234"/>
      <c r="B73" s="434"/>
    </row>
    <row r="74" spans="1:5" outlineLevel="1">
      <c r="A74" s="237" t="s">
        <v>236</v>
      </c>
      <c r="B74" s="434"/>
    </row>
    <row r="75" spans="1:5" ht="15.75" customHeight="1" outlineLevel="1">
      <c r="A75" s="464" t="s">
        <v>237</v>
      </c>
      <c r="B75" s="434" t="s">
        <v>238</v>
      </c>
      <c r="C75" s="18"/>
      <c r="D75" s="18"/>
      <c r="E75" s="18"/>
    </row>
    <row r="76" spans="1:5" ht="15.75" customHeight="1" outlineLevel="1">
      <c r="A76" s="464"/>
      <c r="B76" s="434" t="s">
        <v>239</v>
      </c>
      <c r="C76" s="18"/>
      <c r="D76" s="18"/>
      <c r="E76" s="18"/>
    </row>
    <row r="77" spans="1:5" ht="15.75" customHeight="1" outlineLevel="1">
      <c r="A77" s="464"/>
      <c r="B77" s="434" t="s">
        <v>240</v>
      </c>
      <c r="C77" s="18"/>
      <c r="D77" s="18"/>
      <c r="E77" s="18"/>
    </row>
    <row r="78" spans="1:5" ht="15.75" customHeight="1" outlineLevel="1">
      <c r="A78" s="464"/>
      <c r="B78" s="434"/>
      <c r="C78" s="18"/>
      <c r="D78" s="18"/>
      <c r="E78" s="18"/>
    </row>
    <row r="79" spans="1:5" outlineLevel="1">
      <c r="A79" s="464" t="s">
        <v>161</v>
      </c>
      <c r="B79" s="434" t="s">
        <v>241</v>
      </c>
    </row>
    <row r="80" spans="1:5" outlineLevel="1">
      <c r="A80" s="464"/>
      <c r="B80" s="434" t="s">
        <v>242</v>
      </c>
    </row>
    <row r="81" spans="1:16353" outlineLevel="1">
      <c r="A81" s="464"/>
      <c r="B81" s="434"/>
    </row>
    <row r="82" spans="1:16353" outlineLevel="1">
      <c r="A82" s="464" t="s">
        <v>206</v>
      </c>
      <c r="B82" s="434"/>
    </row>
    <row r="83" spans="1:16353" outlineLevel="1">
      <c r="A83" s="234"/>
      <c r="B83" s="434"/>
    </row>
    <row r="84" spans="1:16353" outlineLevel="1">
      <c r="A84" s="234"/>
      <c r="B84" s="434"/>
    </row>
    <row r="85" spans="1:16353" outlineLevel="1">
      <c r="A85" s="237" t="s">
        <v>243</v>
      </c>
      <c r="B85" s="434"/>
    </row>
    <row r="86" spans="1:16353" outlineLevel="1">
      <c r="A86" s="464" t="s">
        <v>89</v>
      </c>
      <c r="B86" s="434"/>
    </row>
    <row r="87" spans="1:16353" outlineLevel="1">
      <c r="A87" s="464"/>
      <c r="B87" s="434"/>
    </row>
    <row r="88" spans="1:16353" outlineLevel="1">
      <c r="A88" s="464"/>
      <c r="B88" s="434"/>
    </row>
    <row r="89" spans="1:16353" outlineLevel="1">
      <c r="A89" s="464"/>
      <c r="B89" s="434"/>
    </row>
    <row r="90" spans="1:16353" outlineLevel="1">
      <c r="A90" s="464"/>
      <c r="B90" s="434"/>
    </row>
    <row r="91" spans="1:16353" outlineLevel="1">
      <c r="A91" s="464" t="s">
        <v>84</v>
      </c>
      <c r="B91" s="434"/>
    </row>
    <row r="92" spans="1:16353" outlineLevel="1">
      <c r="A92" s="464"/>
      <c r="B92" s="434"/>
    </row>
    <row r="93" spans="1:16353" outlineLevel="1">
      <c r="A93" s="464"/>
      <c r="B93" s="434"/>
    </row>
    <row r="94" spans="1:16353" outlineLevel="1">
      <c r="A94" s="465"/>
      <c r="B94" s="533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  <c r="AA94" s="236"/>
      <c r="AB94" s="236"/>
      <c r="AC94" s="236"/>
      <c r="AD94" s="236"/>
    </row>
    <row r="95" spans="1:16353">
      <c r="B95" s="434"/>
    </row>
    <row r="96" spans="1:16353" s="15" customFormat="1">
      <c r="A96" s="233" t="s">
        <v>244</v>
      </c>
      <c r="B96" s="444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/>
      <c r="BHW96"/>
      <c r="BHX96"/>
      <c r="BHY96"/>
      <c r="BHZ96"/>
      <c r="BIA96"/>
      <c r="BIB96"/>
      <c r="BIC96"/>
      <c r="BID96"/>
      <c r="BIE96"/>
      <c r="BIF96"/>
      <c r="BIG96"/>
      <c r="BIH96"/>
      <c r="BII96"/>
      <c r="BIJ96"/>
      <c r="BIK96"/>
      <c r="BIL96"/>
      <c r="BIM96"/>
      <c r="BIN96"/>
      <c r="BIO96"/>
      <c r="BIP96"/>
      <c r="BIQ96"/>
      <c r="BIR96"/>
      <c r="BIS96"/>
      <c r="BIT96"/>
      <c r="BIU96"/>
      <c r="BIV96"/>
      <c r="BIW96"/>
      <c r="BIX96"/>
      <c r="BIY96"/>
      <c r="BIZ96"/>
      <c r="BJA96"/>
      <c r="BJB96"/>
      <c r="BJC96"/>
      <c r="BJD96"/>
      <c r="BJE96"/>
      <c r="BJF96"/>
      <c r="BJG96"/>
      <c r="BJH96"/>
      <c r="BJI96"/>
      <c r="BJJ96"/>
      <c r="BJK96"/>
      <c r="BJL96"/>
      <c r="BJM96"/>
      <c r="BJN96"/>
      <c r="BJO96"/>
      <c r="BJP96"/>
      <c r="BJQ96"/>
      <c r="BJR96"/>
      <c r="BJS96"/>
      <c r="BJT96"/>
      <c r="BJU96"/>
      <c r="BJV96"/>
      <c r="BJW96"/>
      <c r="BJX96"/>
      <c r="BJY96"/>
      <c r="BJZ96"/>
      <c r="BKA96"/>
      <c r="BKB96"/>
      <c r="BKC96"/>
      <c r="BKD96"/>
      <c r="BKE96"/>
      <c r="BKF96"/>
      <c r="BKG96"/>
      <c r="BKH96"/>
      <c r="BKI96"/>
      <c r="BKJ96"/>
      <c r="BKK96"/>
      <c r="BKL96"/>
      <c r="BKM96"/>
      <c r="BKN96"/>
      <c r="BKO96"/>
      <c r="BKP96"/>
      <c r="BKQ96"/>
      <c r="BKR96"/>
      <c r="BKS96"/>
      <c r="BKT96"/>
      <c r="BKU96"/>
      <c r="BKV96"/>
      <c r="BKW96"/>
      <c r="BKX96"/>
      <c r="BKY96"/>
      <c r="BKZ96"/>
      <c r="BLA96"/>
      <c r="BLB96"/>
      <c r="BLC96"/>
      <c r="BLD96"/>
      <c r="BLE96"/>
      <c r="BLF96"/>
      <c r="BLG96"/>
      <c r="BLH96"/>
      <c r="BLI96"/>
      <c r="BLJ96"/>
      <c r="BLK96"/>
      <c r="BLL96"/>
      <c r="BLM96"/>
      <c r="BLN96"/>
      <c r="BLO96"/>
      <c r="BLP96"/>
      <c r="BLQ96"/>
      <c r="BLR96"/>
      <c r="BLS96"/>
      <c r="BLT96"/>
      <c r="BLU96"/>
      <c r="BLV96"/>
      <c r="BLW96"/>
      <c r="BLX96"/>
      <c r="BLY96"/>
      <c r="BLZ96"/>
      <c r="BMA96"/>
      <c r="BMB96"/>
      <c r="BMC96"/>
      <c r="BMD96"/>
      <c r="BME96"/>
      <c r="BMF96"/>
      <c r="BMG96"/>
      <c r="BMH96"/>
      <c r="BMI96"/>
      <c r="BMJ96"/>
      <c r="BMK96"/>
      <c r="BML96"/>
      <c r="BMM96"/>
      <c r="BMN96"/>
      <c r="BMO96"/>
      <c r="BMP96"/>
      <c r="BMQ96"/>
      <c r="BMR96"/>
      <c r="BMS96"/>
      <c r="BMT96"/>
      <c r="BMU96"/>
      <c r="BMV96"/>
      <c r="BMW96"/>
      <c r="BMX96"/>
      <c r="BMY96"/>
      <c r="BMZ96"/>
      <c r="BNA96"/>
      <c r="BNB96"/>
      <c r="BNC96"/>
      <c r="BND96"/>
      <c r="BNE96"/>
      <c r="BNF96"/>
      <c r="BNG96"/>
      <c r="BNH96"/>
      <c r="BNI96"/>
      <c r="BNJ96"/>
      <c r="BNK96"/>
      <c r="BNL96"/>
      <c r="BNM96"/>
      <c r="BNN96"/>
      <c r="BNO96"/>
      <c r="BNP96"/>
      <c r="BNQ96"/>
      <c r="BNR96"/>
      <c r="BNS96"/>
      <c r="BNT96"/>
      <c r="BNU96"/>
      <c r="BNV96"/>
      <c r="BNW96"/>
      <c r="BNX96"/>
      <c r="BNY96"/>
      <c r="BNZ96"/>
      <c r="BOA96"/>
      <c r="BOB96"/>
      <c r="BOC96"/>
      <c r="BOD96"/>
      <c r="BOE96"/>
      <c r="BOF96"/>
      <c r="BOG96"/>
      <c r="BOH96"/>
      <c r="BOI96"/>
      <c r="BOJ96"/>
      <c r="BOK96"/>
      <c r="BOL96"/>
      <c r="BOM96"/>
      <c r="BON96"/>
      <c r="BOO96"/>
      <c r="BOP96"/>
      <c r="BOQ96"/>
      <c r="BOR96"/>
      <c r="BOS96"/>
      <c r="BOT96"/>
      <c r="BOU96"/>
      <c r="BOV96"/>
      <c r="BOW96"/>
      <c r="BOX96"/>
      <c r="BOY96"/>
      <c r="BOZ96"/>
      <c r="BPA96"/>
      <c r="BPB96"/>
      <c r="BPC96"/>
      <c r="BPD96"/>
      <c r="BPE96"/>
      <c r="BPF96"/>
      <c r="BPG96"/>
      <c r="BPH96"/>
      <c r="BPI96"/>
      <c r="BPJ96"/>
      <c r="BPK96"/>
      <c r="BPL96"/>
      <c r="BPM96"/>
      <c r="BPN96"/>
      <c r="BPO96"/>
      <c r="BPP96"/>
      <c r="BPQ96"/>
      <c r="BPR96"/>
      <c r="BPS96"/>
      <c r="BPT96"/>
      <c r="BPU96"/>
      <c r="BPV96"/>
      <c r="BPW96"/>
      <c r="BPX96"/>
      <c r="BPY96"/>
      <c r="BPZ96"/>
      <c r="BQA96"/>
      <c r="BQB96"/>
      <c r="BQC96"/>
      <c r="BQD96"/>
      <c r="BQE96"/>
      <c r="BQF96"/>
      <c r="BQG96"/>
      <c r="BQH96"/>
      <c r="BQI96"/>
      <c r="BQJ96"/>
      <c r="BQK96"/>
      <c r="BQL96"/>
      <c r="BQM96"/>
      <c r="BQN96"/>
      <c r="BQO96"/>
      <c r="BQP96"/>
      <c r="BQQ96"/>
      <c r="BQR96"/>
      <c r="BQS96"/>
      <c r="BQT96"/>
      <c r="BQU96"/>
      <c r="BQV96"/>
      <c r="BQW96"/>
      <c r="BQX96"/>
      <c r="BQY96"/>
      <c r="BQZ96"/>
      <c r="BRA96"/>
      <c r="BRB96"/>
      <c r="BRC96"/>
      <c r="BRD96"/>
      <c r="BRE96"/>
      <c r="BRF96"/>
      <c r="BRG96"/>
      <c r="BRH96"/>
      <c r="BRI96"/>
      <c r="BRJ96"/>
      <c r="BRK96"/>
      <c r="BRL96"/>
      <c r="BRM96"/>
      <c r="BRN96"/>
      <c r="BRO96"/>
      <c r="BRP96"/>
      <c r="BRQ96"/>
      <c r="BRR96"/>
      <c r="BRS96"/>
      <c r="BRT96"/>
      <c r="BRU96"/>
      <c r="BRV96"/>
      <c r="BRW96"/>
      <c r="BRX96"/>
      <c r="BRY96"/>
      <c r="BRZ96"/>
      <c r="BSA96"/>
      <c r="BSB96"/>
      <c r="BSC96"/>
      <c r="BSD96"/>
      <c r="BSE96"/>
      <c r="BSF96"/>
      <c r="BSG96"/>
      <c r="BSH96"/>
      <c r="BSI96"/>
      <c r="BSJ96"/>
      <c r="BSK96"/>
      <c r="BSL96"/>
      <c r="BSM96"/>
      <c r="BSN96"/>
      <c r="BSO96"/>
      <c r="BSP96"/>
      <c r="BSQ96"/>
      <c r="BSR96"/>
      <c r="BSS96"/>
      <c r="BST96"/>
      <c r="BSU96"/>
      <c r="BSV96"/>
      <c r="BSW96"/>
      <c r="BSX96"/>
      <c r="BSY96"/>
      <c r="BSZ96"/>
      <c r="BTA96"/>
      <c r="BTB96"/>
      <c r="BTC96"/>
      <c r="BTD96"/>
      <c r="BTE96"/>
      <c r="BTF96"/>
      <c r="BTG96"/>
      <c r="BTH96"/>
      <c r="BTI96"/>
      <c r="BTJ96"/>
      <c r="BTK96"/>
      <c r="BTL96"/>
      <c r="BTM96"/>
      <c r="BTN96"/>
      <c r="BTO96"/>
      <c r="BTP96"/>
      <c r="BTQ96"/>
      <c r="BTR96"/>
      <c r="BTS96"/>
      <c r="BTT96"/>
      <c r="BTU96"/>
      <c r="BTV96"/>
      <c r="BTW96"/>
      <c r="BTX96"/>
      <c r="BTY96"/>
      <c r="BTZ96"/>
      <c r="BUA96"/>
      <c r="BUB96"/>
      <c r="BUC96"/>
      <c r="BUD96"/>
      <c r="BUE96"/>
      <c r="BUF96"/>
      <c r="BUG96"/>
      <c r="BUH96"/>
      <c r="BUI96"/>
      <c r="BUJ96"/>
      <c r="BUK96"/>
      <c r="BUL96"/>
      <c r="BUM96"/>
      <c r="BUN96"/>
      <c r="BUO96"/>
      <c r="BUP96"/>
      <c r="BUQ96"/>
      <c r="BUR96"/>
      <c r="BUS96"/>
      <c r="BUT96"/>
      <c r="BUU96"/>
      <c r="BUV96"/>
      <c r="BUW96"/>
      <c r="BUX96"/>
      <c r="BUY96"/>
      <c r="BUZ96"/>
      <c r="BVA96"/>
      <c r="BVB96"/>
      <c r="BVC96"/>
      <c r="BVD96"/>
      <c r="BVE96"/>
      <c r="BVF96"/>
      <c r="BVG96"/>
      <c r="BVH96"/>
      <c r="BVI96"/>
      <c r="BVJ96"/>
      <c r="BVK96"/>
      <c r="BVL96"/>
      <c r="BVM96"/>
      <c r="BVN96"/>
      <c r="BVO96"/>
      <c r="BVP96"/>
      <c r="BVQ96"/>
      <c r="BVR96"/>
      <c r="BVS96"/>
      <c r="BVT96"/>
      <c r="BVU96"/>
      <c r="BVV96"/>
      <c r="BVW96"/>
      <c r="BVX96"/>
      <c r="BVY96"/>
      <c r="BVZ96"/>
      <c r="BWA96"/>
      <c r="BWB96"/>
      <c r="BWC96"/>
      <c r="BWD96"/>
      <c r="BWE96"/>
      <c r="BWF96"/>
      <c r="BWG96"/>
      <c r="BWH96"/>
      <c r="BWI96"/>
      <c r="BWJ96"/>
      <c r="BWK96"/>
      <c r="BWL96"/>
      <c r="BWM96"/>
      <c r="BWN96"/>
      <c r="BWO96"/>
      <c r="BWP96"/>
      <c r="BWQ96"/>
      <c r="BWR96"/>
      <c r="BWS96"/>
      <c r="BWT96"/>
      <c r="BWU96"/>
      <c r="BWV96"/>
      <c r="BWW96"/>
      <c r="BWX96"/>
      <c r="BWY96"/>
      <c r="BWZ96"/>
      <c r="BXA96"/>
      <c r="BXB96"/>
      <c r="BXC96"/>
      <c r="BXD96"/>
      <c r="BXE96"/>
      <c r="BXF96"/>
      <c r="BXG96"/>
      <c r="BXH96"/>
      <c r="BXI96"/>
      <c r="BXJ96"/>
      <c r="BXK96"/>
      <c r="BXL96"/>
      <c r="BXM96"/>
      <c r="BXN96"/>
      <c r="BXO96"/>
      <c r="BXP96"/>
      <c r="BXQ96"/>
      <c r="BXR96"/>
      <c r="BXS96"/>
      <c r="BXT96"/>
      <c r="BXU96"/>
      <c r="BXV96"/>
      <c r="BXW96"/>
      <c r="BXX96"/>
      <c r="BXY96"/>
      <c r="BXZ96"/>
      <c r="BYA96"/>
      <c r="BYB96"/>
      <c r="BYC96"/>
      <c r="BYD96"/>
      <c r="BYE96"/>
      <c r="BYF96"/>
      <c r="BYG96"/>
      <c r="BYH96"/>
      <c r="BYI96"/>
      <c r="BYJ96"/>
      <c r="BYK96"/>
      <c r="BYL96"/>
      <c r="BYM96"/>
      <c r="BYN96"/>
      <c r="BYO96"/>
      <c r="BYP96"/>
      <c r="BYQ96"/>
      <c r="BYR96"/>
      <c r="BYS96"/>
      <c r="BYT96"/>
      <c r="BYU96"/>
      <c r="BYV96"/>
      <c r="BYW96"/>
      <c r="BYX96"/>
      <c r="BYY96"/>
      <c r="BYZ96"/>
      <c r="BZA96"/>
      <c r="BZB96"/>
      <c r="BZC96"/>
      <c r="BZD96"/>
      <c r="BZE96"/>
      <c r="BZF96"/>
      <c r="BZG96"/>
      <c r="BZH96"/>
      <c r="BZI96"/>
      <c r="BZJ96"/>
      <c r="BZK96"/>
      <c r="BZL96"/>
      <c r="BZM96"/>
      <c r="BZN96"/>
      <c r="BZO96"/>
      <c r="BZP96"/>
      <c r="BZQ96"/>
      <c r="BZR96"/>
      <c r="BZS96"/>
      <c r="BZT96"/>
      <c r="BZU96"/>
      <c r="BZV96"/>
      <c r="BZW96"/>
      <c r="BZX96"/>
      <c r="BZY96"/>
      <c r="BZZ96"/>
      <c r="CAA96"/>
      <c r="CAB96"/>
      <c r="CAC96"/>
      <c r="CAD96"/>
      <c r="CAE96"/>
      <c r="CAF96"/>
      <c r="CAG96"/>
      <c r="CAH96"/>
      <c r="CAI96"/>
      <c r="CAJ96"/>
      <c r="CAK96"/>
      <c r="CAL96"/>
      <c r="CAM96"/>
      <c r="CAN96"/>
      <c r="CAO96"/>
      <c r="CAP96"/>
      <c r="CAQ96"/>
      <c r="CAR96"/>
      <c r="CAS96"/>
      <c r="CAT96"/>
      <c r="CAU96"/>
      <c r="CAV96"/>
      <c r="CAW96"/>
      <c r="CAX96"/>
      <c r="CAY96"/>
      <c r="CAZ96"/>
      <c r="CBA96"/>
      <c r="CBB96"/>
      <c r="CBC96"/>
      <c r="CBD96"/>
      <c r="CBE96"/>
      <c r="CBF96"/>
      <c r="CBG96"/>
      <c r="CBH96"/>
      <c r="CBI96"/>
      <c r="CBJ96"/>
      <c r="CBK96"/>
      <c r="CBL96"/>
      <c r="CBM96"/>
      <c r="CBN96"/>
      <c r="CBO96"/>
      <c r="CBP96"/>
      <c r="CBQ96"/>
      <c r="CBR96"/>
      <c r="CBS96"/>
      <c r="CBT96"/>
      <c r="CBU96"/>
      <c r="CBV96"/>
      <c r="CBW96"/>
      <c r="CBX96"/>
      <c r="CBY96"/>
      <c r="CBZ96"/>
      <c r="CCA96"/>
      <c r="CCB96"/>
      <c r="CCC96"/>
      <c r="CCD96"/>
      <c r="CCE96"/>
      <c r="CCF96"/>
      <c r="CCG96"/>
      <c r="CCH96"/>
      <c r="CCI96"/>
      <c r="CCJ96"/>
      <c r="CCK96"/>
      <c r="CCL96"/>
      <c r="CCM96"/>
      <c r="CCN96"/>
      <c r="CCO96"/>
      <c r="CCP96"/>
      <c r="CCQ96"/>
      <c r="CCR96"/>
      <c r="CCS96"/>
      <c r="CCT96"/>
      <c r="CCU96"/>
      <c r="CCV96"/>
      <c r="CCW96"/>
      <c r="CCX96"/>
      <c r="CCY96"/>
      <c r="CCZ96"/>
      <c r="CDA96"/>
      <c r="CDB96"/>
      <c r="CDC96"/>
      <c r="CDD96"/>
      <c r="CDE96"/>
      <c r="CDF96"/>
      <c r="CDG96"/>
      <c r="CDH96"/>
      <c r="CDI96"/>
      <c r="CDJ96"/>
      <c r="CDK96"/>
      <c r="CDL96"/>
      <c r="CDM96"/>
      <c r="CDN96"/>
      <c r="CDO96"/>
      <c r="CDP96"/>
      <c r="CDQ96"/>
      <c r="CDR96"/>
      <c r="CDS96"/>
      <c r="CDT96"/>
      <c r="CDU96"/>
      <c r="CDV96"/>
      <c r="CDW96"/>
      <c r="CDX96"/>
      <c r="CDY96"/>
      <c r="CDZ96"/>
      <c r="CEA96"/>
      <c r="CEB96"/>
      <c r="CEC96"/>
      <c r="CED96"/>
      <c r="CEE96"/>
      <c r="CEF96"/>
      <c r="CEG96"/>
      <c r="CEH96"/>
      <c r="CEI96"/>
      <c r="CEJ96"/>
      <c r="CEK96"/>
      <c r="CEL96"/>
      <c r="CEM96"/>
      <c r="CEN96"/>
      <c r="CEO96"/>
      <c r="CEP96"/>
      <c r="CEQ96"/>
      <c r="CER96"/>
      <c r="CES96"/>
      <c r="CET96"/>
      <c r="CEU96"/>
      <c r="CEV96"/>
      <c r="CEW96"/>
      <c r="CEX96"/>
      <c r="CEY96"/>
      <c r="CEZ96"/>
      <c r="CFA96"/>
      <c r="CFB96"/>
      <c r="CFC96"/>
      <c r="CFD96"/>
      <c r="CFE96"/>
      <c r="CFF96"/>
      <c r="CFG96"/>
      <c r="CFH96"/>
      <c r="CFI96"/>
      <c r="CFJ96"/>
      <c r="CFK96"/>
      <c r="CFL96"/>
      <c r="CFM96"/>
      <c r="CFN96"/>
      <c r="CFO96"/>
      <c r="CFP96"/>
      <c r="CFQ96"/>
      <c r="CFR96"/>
      <c r="CFS96"/>
      <c r="CFT96"/>
      <c r="CFU96"/>
      <c r="CFV96"/>
      <c r="CFW96"/>
      <c r="CFX96"/>
      <c r="CFY96"/>
      <c r="CFZ96"/>
      <c r="CGA96"/>
      <c r="CGB96"/>
      <c r="CGC96"/>
      <c r="CGD96"/>
      <c r="CGE96"/>
      <c r="CGF96"/>
      <c r="CGG96"/>
      <c r="CGH96"/>
      <c r="CGI96"/>
      <c r="CGJ96"/>
      <c r="CGK96"/>
      <c r="CGL96"/>
      <c r="CGM96"/>
      <c r="CGN96"/>
      <c r="CGO96"/>
      <c r="CGP96"/>
      <c r="CGQ96"/>
      <c r="CGR96"/>
      <c r="CGS96"/>
      <c r="CGT96"/>
      <c r="CGU96"/>
      <c r="CGV96"/>
      <c r="CGW96"/>
      <c r="CGX96"/>
      <c r="CGY96"/>
      <c r="CGZ96"/>
      <c r="CHA96"/>
      <c r="CHB96"/>
      <c r="CHC96"/>
      <c r="CHD96"/>
      <c r="CHE96"/>
      <c r="CHF96"/>
      <c r="CHG96"/>
      <c r="CHH96"/>
      <c r="CHI96"/>
      <c r="CHJ96"/>
      <c r="CHK96"/>
      <c r="CHL96"/>
      <c r="CHM96"/>
      <c r="CHN96"/>
      <c r="CHO96"/>
      <c r="CHP96"/>
      <c r="CHQ96"/>
      <c r="CHR96"/>
      <c r="CHS96"/>
      <c r="CHT96"/>
      <c r="CHU96"/>
      <c r="CHV96"/>
      <c r="CHW96"/>
      <c r="CHX96"/>
      <c r="CHY96"/>
      <c r="CHZ96"/>
      <c r="CIA96"/>
      <c r="CIB96"/>
      <c r="CIC96"/>
      <c r="CID96"/>
      <c r="CIE96"/>
      <c r="CIF96"/>
      <c r="CIG96"/>
      <c r="CIH96"/>
      <c r="CII96"/>
      <c r="CIJ96"/>
      <c r="CIK96"/>
      <c r="CIL96"/>
      <c r="CIM96"/>
      <c r="CIN96"/>
      <c r="CIO96"/>
      <c r="CIP96"/>
      <c r="CIQ96"/>
      <c r="CIR96"/>
      <c r="CIS96"/>
      <c r="CIT96"/>
      <c r="CIU96"/>
      <c r="CIV96"/>
      <c r="CIW96"/>
      <c r="CIX96"/>
      <c r="CIY96"/>
      <c r="CIZ96"/>
      <c r="CJA96"/>
      <c r="CJB96"/>
      <c r="CJC96"/>
      <c r="CJD96"/>
      <c r="CJE96"/>
      <c r="CJF96"/>
      <c r="CJG96"/>
      <c r="CJH96"/>
      <c r="CJI96"/>
      <c r="CJJ96"/>
      <c r="CJK96"/>
      <c r="CJL96"/>
      <c r="CJM96"/>
      <c r="CJN96"/>
      <c r="CJO96"/>
      <c r="CJP96"/>
      <c r="CJQ96"/>
      <c r="CJR96"/>
      <c r="CJS96"/>
      <c r="CJT96"/>
      <c r="CJU96"/>
      <c r="CJV96"/>
      <c r="CJW96"/>
      <c r="CJX96"/>
      <c r="CJY96"/>
      <c r="CJZ96"/>
      <c r="CKA96"/>
      <c r="CKB96"/>
      <c r="CKC96"/>
      <c r="CKD96"/>
      <c r="CKE96"/>
      <c r="CKF96"/>
      <c r="CKG96"/>
      <c r="CKH96"/>
      <c r="CKI96"/>
      <c r="CKJ96"/>
      <c r="CKK96"/>
      <c r="CKL96"/>
      <c r="CKM96"/>
      <c r="CKN96"/>
      <c r="CKO96"/>
      <c r="CKP96"/>
      <c r="CKQ96"/>
      <c r="CKR96"/>
      <c r="CKS96"/>
      <c r="CKT96"/>
      <c r="CKU96"/>
      <c r="CKV96"/>
      <c r="CKW96"/>
      <c r="CKX96"/>
      <c r="CKY96"/>
      <c r="CKZ96"/>
      <c r="CLA96"/>
      <c r="CLB96"/>
      <c r="CLC96"/>
      <c r="CLD96"/>
      <c r="CLE96"/>
      <c r="CLF96"/>
      <c r="CLG96"/>
      <c r="CLH96"/>
      <c r="CLI96"/>
      <c r="CLJ96"/>
      <c r="CLK96"/>
      <c r="CLL96"/>
      <c r="CLM96"/>
      <c r="CLN96"/>
      <c r="CLO96"/>
      <c r="CLP96"/>
      <c r="CLQ96"/>
      <c r="CLR96"/>
      <c r="CLS96"/>
      <c r="CLT96"/>
      <c r="CLU96"/>
      <c r="CLV96"/>
      <c r="CLW96"/>
      <c r="CLX96"/>
      <c r="CLY96"/>
      <c r="CLZ96"/>
      <c r="CMA96"/>
      <c r="CMB96"/>
      <c r="CMC96"/>
      <c r="CMD96"/>
      <c r="CME96"/>
      <c r="CMF96"/>
      <c r="CMG96"/>
      <c r="CMH96"/>
      <c r="CMI96"/>
      <c r="CMJ96"/>
      <c r="CMK96"/>
      <c r="CML96"/>
      <c r="CMM96"/>
      <c r="CMN96"/>
      <c r="CMO96"/>
      <c r="CMP96"/>
      <c r="CMQ96"/>
      <c r="CMR96"/>
      <c r="CMS96"/>
      <c r="CMT96"/>
      <c r="CMU96"/>
      <c r="CMV96"/>
      <c r="CMW96"/>
      <c r="CMX96"/>
      <c r="CMY96"/>
      <c r="CMZ96"/>
      <c r="CNA96"/>
      <c r="CNB96"/>
      <c r="CNC96"/>
      <c r="CND96"/>
      <c r="CNE96"/>
      <c r="CNF96"/>
      <c r="CNG96"/>
      <c r="CNH96"/>
      <c r="CNI96"/>
      <c r="CNJ96"/>
      <c r="CNK96"/>
      <c r="CNL96"/>
      <c r="CNM96"/>
      <c r="CNN96"/>
      <c r="CNO96"/>
      <c r="CNP96"/>
      <c r="CNQ96"/>
      <c r="CNR96"/>
      <c r="CNS96"/>
      <c r="CNT96"/>
      <c r="CNU96"/>
      <c r="CNV96"/>
      <c r="CNW96"/>
      <c r="CNX96"/>
      <c r="CNY96"/>
      <c r="CNZ96"/>
      <c r="COA96"/>
      <c r="COB96"/>
      <c r="COC96"/>
      <c r="COD96"/>
      <c r="COE96"/>
      <c r="COF96"/>
      <c r="COG96"/>
      <c r="COH96"/>
      <c r="COI96"/>
      <c r="COJ96"/>
      <c r="COK96"/>
      <c r="COL96"/>
      <c r="COM96"/>
      <c r="CON96"/>
      <c r="COO96"/>
      <c r="COP96"/>
      <c r="COQ96"/>
      <c r="COR96"/>
      <c r="COS96"/>
      <c r="COT96"/>
      <c r="COU96"/>
      <c r="COV96"/>
      <c r="COW96"/>
      <c r="COX96"/>
      <c r="COY96"/>
      <c r="COZ96"/>
      <c r="CPA96"/>
      <c r="CPB96"/>
      <c r="CPC96"/>
      <c r="CPD96"/>
      <c r="CPE96"/>
      <c r="CPF96"/>
      <c r="CPG96"/>
      <c r="CPH96"/>
      <c r="CPI96"/>
      <c r="CPJ96"/>
      <c r="CPK96"/>
      <c r="CPL96"/>
      <c r="CPM96"/>
      <c r="CPN96"/>
      <c r="CPO96"/>
      <c r="CPP96"/>
      <c r="CPQ96"/>
      <c r="CPR96"/>
      <c r="CPS96"/>
      <c r="CPT96"/>
      <c r="CPU96"/>
      <c r="CPV96"/>
      <c r="CPW96"/>
      <c r="CPX96"/>
      <c r="CPY96"/>
      <c r="CPZ96"/>
      <c r="CQA96"/>
      <c r="CQB96"/>
      <c r="CQC96"/>
      <c r="CQD96"/>
      <c r="CQE96"/>
      <c r="CQF96"/>
      <c r="CQG96"/>
      <c r="CQH96"/>
      <c r="CQI96"/>
      <c r="CQJ96"/>
      <c r="CQK96"/>
      <c r="CQL96"/>
      <c r="CQM96"/>
      <c r="CQN96"/>
      <c r="CQO96"/>
      <c r="CQP96"/>
      <c r="CQQ96"/>
      <c r="CQR96"/>
      <c r="CQS96"/>
      <c r="CQT96"/>
      <c r="CQU96"/>
      <c r="CQV96"/>
      <c r="CQW96"/>
      <c r="CQX96"/>
      <c r="CQY96"/>
      <c r="CQZ96"/>
      <c r="CRA96"/>
      <c r="CRB96"/>
      <c r="CRC96"/>
      <c r="CRD96"/>
      <c r="CRE96"/>
      <c r="CRF96"/>
      <c r="CRG96"/>
      <c r="CRH96"/>
      <c r="CRI96"/>
      <c r="CRJ96"/>
      <c r="CRK96"/>
      <c r="CRL96"/>
      <c r="CRM96"/>
      <c r="CRN96"/>
      <c r="CRO96"/>
      <c r="CRP96"/>
      <c r="CRQ96"/>
      <c r="CRR96"/>
      <c r="CRS96"/>
      <c r="CRT96"/>
      <c r="CRU96"/>
      <c r="CRV96"/>
      <c r="CRW96"/>
      <c r="CRX96"/>
      <c r="CRY96"/>
      <c r="CRZ96"/>
      <c r="CSA96"/>
      <c r="CSB96"/>
      <c r="CSC96"/>
      <c r="CSD96"/>
      <c r="CSE96"/>
      <c r="CSF96"/>
      <c r="CSG96"/>
      <c r="CSH96"/>
      <c r="CSI96"/>
      <c r="CSJ96"/>
      <c r="CSK96"/>
      <c r="CSL96"/>
      <c r="CSM96"/>
      <c r="CSN96"/>
      <c r="CSO96"/>
      <c r="CSP96"/>
      <c r="CSQ96"/>
      <c r="CSR96"/>
      <c r="CSS96"/>
      <c r="CST96"/>
      <c r="CSU96"/>
      <c r="CSV96"/>
      <c r="CSW96"/>
      <c r="CSX96"/>
      <c r="CSY96"/>
      <c r="CSZ96"/>
      <c r="CTA96"/>
      <c r="CTB96"/>
      <c r="CTC96"/>
      <c r="CTD96"/>
      <c r="CTE96"/>
      <c r="CTF96"/>
      <c r="CTG96"/>
      <c r="CTH96"/>
      <c r="CTI96"/>
      <c r="CTJ96"/>
      <c r="CTK96"/>
      <c r="CTL96"/>
      <c r="CTM96"/>
      <c r="CTN96"/>
      <c r="CTO96"/>
      <c r="CTP96"/>
      <c r="CTQ96"/>
      <c r="CTR96"/>
      <c r="CTS96"/>
      <c r="CTT96"/>
      <c r="CTU96"/>
      <c r="CTV96"/>
      <c r="CTW96"/>
      <c r="CTX96"/>
      <c r="CTY96"/>
      <c r="CTZ96"/>
      <c r="CUA96"/>
      <c r="CUB96"/>
      <c r="CUC96"/>
      <c r="CUD96"/>
      <c r="CUE96"/>
      <c r="CUF96"/>
      <c r="CUG96"/>
      <c r="CUH96"/>
      <c r="CUI96"/>
      <c r="CUJ96"/>
      <c r="CUK96"/>
      <c r="CUL96"/>
      <c r="CUM96"/>
      <c r="CUN96"/>
      <c r="CUO96"/>
      <c r="CUP96"/>
      <c r="CUQ96"/>
      <c r="CUR96"/>
      <c r="CUS96"/>
      <c r="CUT96"/>
      <c r="CUU96"/>
      <c r="CUV96"/>
      <c r="CUW96"/>
      <c r="CUX96"/>
      <c r="CUY96"/>
      <c r="CUZ96"/>
      <c r="CVA96"/>
      <c r="CVB96"/>
      <c r="CVC96"/>
      <c r="CVD96"/>
      <c r="CVE96"/>
      <c r="CVF96"/>
      <c r="CVG96"/>
      <c r="CVH96"/>
      <c r="CVI96"/>
      <c r="CVJ96"/>
      <c r="CVK96"/>
      <c r="CVL96"/>
      <c r="CVM96"/>
      <c r="CVN96"/>
      <c r="CVO96"/>
      <c r="CVP96"/>
      <c r="CVQ96"/>
      <c r="CVR96"/>
      <c r="CVS96"/>
      <c r="CVT96"/>
      <c r="CVU96"/>
      <c r="CVV96"/>
      <c r="CVW96"/>
      <c r="CVX96"/>
      <c r="CVY96"/>
      <c r="CVZ96"/>
      <c r="CWA96"/>
      <c r="CWB96"/>
      <c r="CWC96"/>
      <c r="CWD96"/>
      <c r="CWE96"/>
      <c r="CWF96"/>
      <c r="CWG96"/>
      <c r="CWH96"/>
      <c r="CWI96"/>
      <c r="CWJ96"/>
      <c r="CWK96"/>
      <c r="CWL96"/>
      <c r="CWM96"/>
      <c r="CWN96"/>
      <c r="CWO96"/>
      <c r="CWP96"/>
      <c r="CWQ96"/>
      <c r="CWR96"/>
      <c r="CWS96"/>
      <c r="CWT96"/>
      <c r="CWU96"/>
      <c r="CWV96"/>
      <c r="CWW96"/>
      <c r="CWX96"/>
      <c r="CWY96"/>
      <c r="CWZ96"/>
      <c r="CXA96"/>
      <c r="CXB96"/>
      <c r="CXC96"/>
      <c r="CXD96"/>
      <c r="CXE96"/>
      <c r="CXF96"/>
      <c r="CXG96"/>
      <c r="CXH96"/>
      <c r="CXI96"/>
      <c r="CXJ96"/>
      <c r="CXK96"/>
      <c r="CXL96"/>
      <c r="CXM96"/>
      <c r="CXN96"/>
      <c r="CXO96"/>
      <c r="CXP96"/>
      <c r="CXQ96"/>
      <c r="CXR96"/>
      <c r="CXS96"/>
      <c r="CXT96"/>
      <c r="CXU96"/>
      <c r="CXV96"/>
      <c r="CXW96"/>
      <c r="CXX96"/>
      <c r="CXY96"/>
      <c r="CXZ96"/>
      <c r="CYA96"/>
      <c r="CYB96"/>
      <c r="CYC96"/>
      <c r="CYD96"/>
      <c r="CYE96"/>
      <c r="CYF96"/>
      <c r="CYG96"/>
      <c r="CYH96"/>
      <c r="CYI96"/>
      <c r="CYJ96"/>
      <c r="CYK96"/>
      <c r="CYL96"/>
      <c r="CYM96"/>
      <c r="CYN96"/>
      <c r="CYO96"/>
      <c r="CYP96"/>
      <c r="CYQ96"/>
      <c r="CYR96"/>
      <c r="CYS96"/>
      <c r="CYT96"/>
      <c r="CYU96"/>
      <c r="CYV96"/>
      <c r="CYW96"/>
      <c r="CYX96"/>
      <c r="CYY96"/>
      <c r="CYZ96"/>
      <c r="CZA96"/>
      <c r="CZB96"/>
      <c r="CZC96"/>
      <c r="CZD96"/>
      <c r="CZE96"/>
      <c r="CZF96"/>
      <c r="CZG96"/>
      <c r="CZH96"/>
      <c r="CZI96"/>
      <c r="CZJ96"/>
      <c r="CZK96"/>
      <c r="CZL96"/>
      <c r="CZM96"/>
      <c r="CZN96"/>
      <c r="CZO96"/>
      <c r="CZP96"/>
      <c r="CZQ96"/>
      <c r="CZR96"/>
      <c r="CZS96"/>
      <c r="CZT96"/>
      <c r="CZU96"/>
      <c r="CZV96"/>
      <c r="CZW96"/>
      <c r="CZX96"/>
      <c r="CZY96"/>
      <c r="CZZ96"/>
      <c r="DAA96"/>
      <c r="DAB96"/>
      <c r="DAC96"/>
      <c r="DAD96"/>
      <c r="DAE96"/>
      <c r="DAF96"/>
      <c r="DAG96"/>
      <c r="DAH96"/>
      <c r="DAI96"/>
      <c r="DAJ96"/>
      <c r="DAK96"/>
      <c r="DAL96"/>
      <c r="DAM96"/>
      <c r="DAN96"/>
      <c r="DAO96"/>
      <c r="DAP96"/>
      <c r="DAQ96"/>
      <c r="DAR96"/>
      <c r="DAS96"/>
      <c r="DAT96"/>
      <c r="DAU96"/>
      <c r="DAV96"/>
      <c r="DAW96"/>
      <c r="DAX96"/>
      <c r="DAY96"/>
      <c r="DAZ96"/>
      <c r="DBA96"/>
      <c r="DBB96"/>
      <c r="DBC96"/>
      <c r="DBD96"/>
      <c r="DBE96"/>
      <c r="DBF96"/>
      <c r="DBG96"/>
      <c r="DBH96"/>
      <c r="DBI96"/>
      <c r="DBJ96"/>
      <c r="DBK96"/>
      <c r="DBL96"/>
      <c r="DBM96"/>
      <c r="DBN96"/>
      <c r="DBO96"/>
      <c r="DBP96"/>
      <c r="DBQ96"/>
      <c r="DBR96"/>
      <c r="DBS96"/>
      <c r="DBT96"/>
      <c r="DBU96"/>
      <c r="DBV96"/>
      <c r="DBW96"/>
      <c r="DBX96"/>
      <c r="DBY96"/>
      <c r="DBZ96"/>
      <c r="DCA96"/>
      <c r="DCB96"/>
      <c r="DCC96"/>
      <c r="DCD96"/>
      <c r="DCE96"/>
      <c r="DCF96"/>
      <c r="DCG96"/>
      <c r="DCH96"/>
      <c r="DCI96"/>
      <c r="DCJ96"/>
      <c r="DCK96"/>
      <c r="DCL96"/>
      <c r="DCM96"/>
      <c r="DCN96"/>
      <c r="DCO96"/>
      <c r="DCP96"/>
      <c r="DCQ96"/>
      <c r="DCR96"/>
      <c r="DCS96"/>
      <c r="DCT96"/>
      <c r="DCU96"/>
      <c r="DCV96"/>
      <c r="DCW96"/>
      <c r="DCX96"/>
      <c r="DCY96"/>
      <c r="DCZ96"/>
      <c r="DDA96"/>
      <c r="DDB96"/>
      <c r="DDC96"/>
      <c r="DDD96"/>
      <c r="DDE96"/>
      <c r="DDF96"/>
      <c r="DDG96"/>
      <c r="DDH96"/>
      <c r="DDI96"/>
      <c r="DDJ96"/>
      <c r="DDK96"/>
      <c r="DDL96"/>
      <c r="DDM96"/>
      <c r="DDN96"/>
      <c r="DDO96"/>
      <c r="DDP96"/>
      <c r="DDQ96"/>
      <c r="DDR96"/>
      <c r="DDS96"/>
      <c r="DDT96"/>
      <c r="DDU96"/>
      <c r="DDV96"/>
      <c r="DDW96"/>
      <c r="DDX96"/>
      <c r="DDY96"/>
      <c r="DDZ96"/>
      <c r="DEA96"/>
      <c r="DEB96"/>
      <c r="DEC96"/>
      <c r="DED96"/>
      <c r="DEE96"/>
      <c r="DEF96"/>
      <c r="DEG96"/>
      <c r="DEH96"/>
      <c r="DEI96"/>
      <c r="DEJ96"/>
      <c r="DEK96"/>
      <c r="DEL96"/>
      <c r="DEM96"/>
      <c r="DEN96"/>
      <c r="DEO96"/>
      <c r="DEP96"/>
      <c r="DEQ96"/>
      <c r="DER96"/>
      <c r="DES96"/>
      <c r="DET96"/>
      <c r="DEU96"/>
      <c r="DEV96"/>
      <c r="DEW96"/>
      <c r="DEX96"/>
      <c r="DEY96"/>
      <c r="DEZ96"/>
      <c r="DFA96"/>
      <c r="DFB96"/>
      <c r="DFC96"/>
      <c r="DFD96"/>
      <c r="DFE96"/>
      <c r="DFF96"/>
      <c r="DFG96"/>
      <c r="DFH96"/>
      <c r="DFI96"/>
      <c r="DFJ96"/>
      <c r="DFK96"/>
      <c r="DFL96"/>
      <c r="DFM96"/>
      <c r="DFN96"/>
      <c r="DFO96"/>
      <c r="DFP96"/>
      <c r="DFQ96"/>
      <c r="DFR96"/>
      <c r="DFS96"/>
      <c r="DFT96"/>
      <c r="DFU96"/>
      <c r="DFV96"/>
      <c r="DFW96"/>
      <c r="DFX96"/>
      <c r="DFY96"/>
      <c r="DFZ96"/>
      <c r="DGA96"/>
      <c r="DGB96"/>
      <c r="DGC96"/>
      <c r="DGD96"/>
      <c r="DGE96"/>
      <c r="DGF96"/>
      <c r="DGG96"/>
      <c r="DGH96"/>
      <c r="DGI96"/>
      <c r="DGJ96"/>
      <c r="DGK96"/>
      <c r="DGL96"/>
      <c r="DGM96"/>
      <c r="DGN96"/>
      <c r="DGO96"/>
      <c r="DGP96"/>
      <c r="DGQ96"/>
      <c r="DGR96"/>
      <c r="DGS96"/>
      <c r="DGT96"/>
      <c r="DGU96"/>
      <c r="DGV96"/>
      <c r="DGW96"/>
      <c r="DGX96"/>
      <c r="DGY96"/>
      <c r="DGZ96"/>
      <c r="DHA96"/>
      <c r="DHB96"/>
      <c r="DHC96"/>
      <c r="DHD96"/>
      <c r="DHE96"/>
      <c r="DHF96"/>
      <c r="DHG96"/>
      <c r="DHH96"/>
      <c r="DHI96"/>
      <c r="DHJ96"/>
      <c r="DHK96"/>
      <c r="DHL96"/>
      <c r="DHM96"/>
      <c r="DHN96"/>
      <c r="DHO96"/>
      <c r="DHP96"/>
      <c r="DHQ96"/>
      <c r="DHR96"/>
      <c r="DHS96"/>
      <c r="DHT96"/>
      <c r="DHU96"/>
      <c r="DHV96"/>
      <c r="DHW96"/>
      <c r="DHX96"/>
      <c r="DHY96"/>
      <c r="DHZ96"/>
      <c r="DIA96"/>
      <c r="DIB96"/>
      <c r="DIC96"/>
      <c r="DID96"/>
      <c r="DIE96"/>
      <c r="DIF96"/>
      <c r="DIG96"/>
      <c r="DIH96"/>
      <c r="DII96"/>
      <c r="DIJ96"/>
      <c r="DIK96"/>
      <c r="DIL96"/>
      <c r="DIM96"/>
      <c r="DIN96"/>
      <c r="DIO96"/>
      <c r="DIP96"/>
      <c r="DIQ96"/>
      <c r="DIR96"/>
      <c r="DIS96"/>
      <c r="DIT96"/>
      <c r="DIU96"/>
      <c r="DIV96"/>
      <c r="DIW96"/>
      <c r="DIX96"/>
      <c r="DIY96"/>
      <c r="DIZ96"/>
      <c r="DJA96"/>
      <c r="DJB96"/>
      <c r="DJC96"/>
      <c r="DJD96"/>
      <c r="DJE96"/>
      <c r="DJF96"/>
      <c r="DJG96"/>
      <c r="DJH96"/>
      <c r="DJI96"/>
      <c r="DJJ96"/>
      <c r="DJK96"/>
      <c r="DJL96"/>
      <c r="DJM96"/>
      <c r="DJN96"/>
      <c r="DJO96"/>
      <c r="DJP96"/>
      <c r="DJQ96"/>
      <c r="DJR96"/>
      <c r="DJS96"/>
      <c r="DJT96"/>
      <c r="DJU96"/>
      <c r="DJV96"/>
      <c r="DJW96"/>
      <c r="DJX96"/>
      <c r="DJY96"/>
      <c r="DJZ96"/>
      <c r="DKA96"/>
      <c r="DKB96"/>
      <c r="DKC96"/>
      <c r="DKD96"/>
      <c r="DKE96"/>
      <c r="DKF96"/>
      <c r="DKG96"/>
      <c r="DKH96"/>
      <c r="DKI96"/>
      <c r="DKJ96"/>
      <c r="DKK96"/>
      <c r="DKL96"/>
      <c r="DKM96"/>
      <c r="DKN96"/>
      <c r="DKO96"/>
      <c r="DKP96"/>
      <c r="DKQ96"/>
      <c r="DKR96"/>
      <c r="DKS96"/>
      <c r="DKT96"/>
      <c r="DKU96"/>
      <c r="DKV96"/>
      <c r="DKW96"/>
      <c r="DKX96"/>
      <c r="DKY96"/>
      <c r="DKZ96"/>
      <c r="DLA96"/>
      <c r="DLB96"/>
      <c r="DLC96"/>
      <c r="DLD96"/>
      <c r="DLE96"/>
      <c r="DLF96"/>
      <c r="DLG96"/>
      <c r="DLH96"/>
      <c r="DLI96"/>
      <c r="DLJ96"/>
      <c r="DLK96"/>
      <c r="DLL96"/>
      <c r="DLM96"/>
      <c r="DLN96"/>
      <c r="DLO96"/>
      <c r="DLP96"/>
      <c r="DLQ96"/>
      <c r="DLR96"/>
      <c r="DLS96"/>
      <c r="DLT96"/>
      <c r="DLU96"/>
      <c r="DLV96"/>
      <c r="DLW96"/>
      <c r="DLX96"/>
      <c r="DLY96"/>
      <c r="DLZ96"/>
      <c r="DMA96"/>
      <c r="DMB96"/>
      <c r="DMC96"/>
      <c r="DMD96"/>
      <c r="DME96"/>
      <c r="DMF96"/>
      <c r="DMG96"/>
      <c r="DMH96"/>
      <c r="DMI96"/>
      <c r="DMJ96"/>
      <c r="DMK96"/>
      <c r="DML96"/>
      <c r="DMM96"/>
      <c r="DMN96"/>
      <c r="DMO96"/>
      <c r="DMP96"/>
      <c r="DMQ96"/>
      <c r="DMR96"/>
      <c r="DMS96"/>
      <c r="DMT96"/>
      <c r="DMU96"/>
      <c r="DMV96"/>
      <c r="DMW96"/>
      <c r="DMX96"/>
      <c r="DMY96"/>
      <c r="DMZ96"/>
      <c r="DNA96"/>
      <c r="DNB96"/>
      <c r="DNC96"/>
      <c r="DND96"/>
      <c r="DNE96"/>
      <c r="DNF96"/>
      <c r="DNG96"/>
      <c r="DNH96"/>
      <c r="DNI96"/>
      <c r="DNJ96"/>
      <c r="DNK96"/>
      <c r="DNL96"/>
      <c r="DNM96"/>
      <c r="DNN96"/>
      <c r="DNO96"/>
      <c r="DNP96"/>
      <c r="DNQ96"/>
      <c r="DNR96"/>
      <c r="DNS96"/>
      <c r="DNT96"/>
      <c r="DNU96"/>
      <c r="DNV96"/>
      <c r="DNW96"/>
      <c r="DNX96"/>
      <c r="DNY96"/>
      <c r="DNZ96"/>
      <c r="DOA96"/>
      <c r="DOB96"/>
      <c r="DOC96"/>
      <c r="DOD96"/>
      <c r="DOE96"/>
      <c r="DOF96"/>
      <c r="DOG96"/>
      <c r="DOH96"/>
      <c r="DOI96"/>
      <c r="DOJ96"/>
      <c r="DOK96"/>
      <c r="DOL96"/>
      <c r="DOM96"/>
      <c r="DON96"/>
      <c r="DOO96"/>
      <c r="DOP96"/>
      <c r="DOQ96"/>
      <c r="DOR96"/>
      <c r="DOS96"/>
      <c r="DOT96"/>
      <c r="DOU96"/>
      <c r="DOV96"/>
      <c r="DOW96"/>
      <c r="DOX96"/>
      <c r="DOY96"/>
      <c r="DOZ96"/>
      <c r="DPA96"/>
      <c r="DPB96"/>
      <c r="DPC96"/>
      <c r="DPD96"/>
      <c r="DPE96"/>
      <c r="DPF96"/>
      <c r="DPG96"/>
      <c r="DPH96"/>
      <c r="DPI96"/>
      <c r="DPJ96"/>
      <c r="DPK96"/>
      <c r="DPL96"/>
      <c r="DPM96"/>
      <c r="DPN96"/>
      <c r="DPO96"/>
      <c r="DPP96"/>
      <c r="DPQ96"/>
      <c r="DPR96"/>
      <c r="DPS96"/>
      <c r="DPT96"/>
      <c r="DPU96"/>
      <c r="DPV96"/>
      <c r="DPW96"/>
      <c r="DPX96"/>
      <c r="DPY96"/>
      <c r="DPZ96"/>
      <c r="DQA96"/>
      <c r="DQB96"/>
      <c r="DQC96"/>
      <c r="DQD96"/>
      <c r="DQE96"/>
      <c r="DQF96"/>
      <c r="DQG96"/>
      <c r="DQH96"/>
      <c r="DQI96"/>
      <c r="DQJ96"/>
      <c r="DQK96"/>
      <c r="DQL96"/>
      <c r="DQM96"/>
      <c r="DQN96"/>
      <c r="DQO96"/>
      <c r="DQP96"/>
      <c r="DQQ96"/>
      <c r="DQR96"/>
      <c r="DQS96"/>
      <c r="DQT96"/>
      <c r="DQU96"/>
      <c r="DQV96"/>
      <c r="DQW96"/>
      <c r="DQX96"/>
      <c r="DQY96"/>
      <c r="DQZ96"/>
      <c r="DRA96"/>
      <c r="DRB96"/>
      <c r="DRC96"/>
      <c r="DRD96"/>
      <c r="DRE96"/>
      <c r="DRF96"/>
      <c r="DRG96"/>
      <c r="DRH96"/>
      <c r="DRI96"/>
      <c r="DRJ96"/>
      <c r="DRK96"/>
      <c r="DRL96"/>
      <c r="DRM96"/>
      <c r="DRN96"/>
      <c r="DRO96"/>
      <c r="DRP96"/>
      <c r="DRQ96"/>
      <c r="DRR96"/>
      <c r="DRS96"/>
      <c r="DRT96"/>
      <c r="DRU96"/>
      <c r="DRV96"/>
      <c r="DRW96"/>
      <c r="DRX96"/>
      <c r="DRY96"/>
      <c r="DRZ96"/>
      <c r="DSA96"/>
      <c r="DSB96"/>
      <c r="DSC96"/>
      <c r="DSD96"/>
      <c r="DSE96"/>
      <c r="DSF96"/>
      <c r="DSG96"/>
      <c r="DSH96"/>
      <c r="DSI96"/>
      <c r="DSJ96"/>
      <c r="DSK96"/>
      <c r="DSL96"/>
      <c r="DSM96"/>
      <c r="DSN96"/>
      <c r="DSO96"/>
      <c r="DSP96"/>
      <c r="DSQ96"/>
      <c r="DSR96"/>
      <c r="DSS96"/>
      <c r="DST96"/>
      <c r="DSU96"/>
      <c r="DSV96"/>
      <c r="DSW96"/>
      <c r="DSX96"/>
      <c r="DSY96"/>
      <c r="DSZ96"/>
      <c r="DTA96"/>
      <c r="DTB96"/>
      <c r="DTC96"/>
      <c r="DTD96"/>
      <c r="DTE96"/>
      <c r="DTF96"/>
      <c r="DTG96"/>
      <c r="DTH96"/>
      <c r="DTI96"/>
      <c r="DTJ96"/>
      <c r="DTK96"/>
      <c r="DTL96"/>
      <c r="DTM96"/>
      <c r="DTN96"/>
      <c r="DTO96"/>
      <c r="DTP96"/>
      <c r="DTQ96"/>
      <c r="DTR96"/>
      <c r="DTS96"/>
      <c r="DTT96"/>
      <c r="DTU96"/>
      <c r="DTV96"/>
      <c r="DTW96"/>
      <c r="DTX96"/>
      <c r="DTY96"/>
      <c r="DTZ96"/>
      <c r="DUA96"/>
      <c r="DUB96"/>
      <c r="DUC96"/>
      <c r="DUD96"/>
      <c r="DUE96"/>
      <c r="DUF96"/>
      <c r="DUG96"/>
      <c r="DUH96"/>
      <c r="DUI96"/>
      <c r="DUJ96"/>
      <c r="DUK96"/>
      <c r="DUL96"/>
      <c r="DUM96"/>
      <c r="DUN96"/>
      <c r="DUO96"/>
      <c r="DUP96"/>
      <c r="DUQ96"/>
      <c r="DUR96"/>
      <c r="DUS96"/>
      <c r="DUT96"/>
      <c r="DUU96"/>
      <c r="DUV96"/>
      <c r="DUW96"/>
      <c r="DUX96"/>
      <c r="DUY96"/>
      <c r="DUZ96"/>
      <c r="DVA96"/>
      <c r="DVB96"/>
      <c r="DVC96"/>
      <c r="DVD96"/>
      <c r="DVE96"/>
      <c r="DVF96"/>
      <c r="DVG96"/>
      <c r="DVH96"/>
      <c r="DVI96"/>
      <c r="DVJ96"/>
      <c r="DVK96"/>
      <c r="DVL96"/>
      <c r="DVM96"/>
      <c r="DVN96"/>
      <c r="DVO96"/>
      <c r="DVP96"/>
      <c r="DVQ96"/>
      <c r="DVR96"/>
      <c r="DVS96"/>
      <c r="DVT96"/>
      <c r="DVU96"/>
      <c r="DVV96"/>
      <c r="DVW96"/>
      <c r="DVX96"/>
      <c r="DVY96"/>
      <c r="DVZ96"/>
      <c r="DWA96"/>
      <c r="DWB96"/>
      <c r="DWC96"/>
      <c r="DWD96"/>
      <c r="DWE96"/>
      <c r="DWF96"/>
      <c r="DWG96"/>
      <c r="DWH96"/>
      <c r="DWI96"/>
      <c r="DWJ96"/>
      <c r="DWK96"/>
      <c r="DWL96"/>
      <c r="DWM96"/>
      <c r="DWN96"/>
      <c r="DWO96"/>
      <c r="DWP96"/>
      <c r="DWQ96"/>
      <c r="DWR96"/>
      <c r="DWS96"/>
      <c r="DWT96"/>
      <c r="DWU96"/>
      <c r="DWV96"/>
      <c r="DWW96"/>
      <c r="DWX96"/>
      <c r="DWY96"/>
      <c r="DWZ96"/>
      <c r="DXA96"/>
      <c r="DXB96"/>
      <c r="DXC96"/>
      <c r="DXD96"/>
      <c r="DXE96"/>
      <c r="DXF96"/>
      <c r="DXG96"/>
      <c r="DXH96"/>
      <c r="DXI96"/>
      <c r="DXJ96"/>
      <c r="DXK96"/>
      <c r="DXL96"/>
      <c r="DXM96"/>
      <c r="DXN96"/>
      <c r="DXO96"/>
      <c r="DXP96"/>
      <c r="DXQ96"/>
      <c r="DXR96"/>
      <c r="DXS96"/>
      <c r="DXT96"/>
      <c r="DXU96"/>
      <c r="DXV96"/>
      <c r="DXW96"/>
      <c r="DXX96"/>
      <c r="DXY96"/>
      <c r="DXZ96"/>
      <c r="DYA96"/>
      <c r="DYB96"/>
      <c r="DYC96"/>
      <c r="DYD96"/>
      <c r="DYE96"/>
      <c r="DYF96"/>
      <c r="DYG96"/>
      <c r="DYH96"/>
      <c r="DYI96"/>
      <c r="DYJ96"/>
      <c r="DYK96"/>
      <c r="DYL96"/>
      <c r="DYM96"/>
      <c r="DYN96"/>
      <c r="DYO96"/>
      <c r="DYP96"/>
      <c r="DYQ96"/>
      <c r="DYR96"/>
      <c r="DYS96"/>
      <c r="DYT96"/>
      <c r="DYU96"/>
      <c r="DYV96"/>
      <c r="DYW96"/>
      <c r="DYX96"/>
      <c r="DYY96"/>
      <c r="DYZ96"/>
      <c r="DZA96"/>
      <c r="DZB96"/>
      <c r="DZC96"/>
      <c r="DZD96"/>
      <c r="DZE96"/>
      <c r="DZF96"/>
      <c r="DZG96"/>
      <c r="DZH96"/>
      <c r="DZI96"/>
      <c r="DZJ96"/>
      <c r="DZK96"/>
      <c r="DZL96"/>
      <c r="DZM96"/>
      <c r="DZN96"/>
      <c r="DZO96"/>
      <c r="DZP96"/>
      <c r="DZQ96"/>
      <c r="DZR96"/>
      <c r="DZS96"/>
      <c r="DZT96"/>
      <c r="DZU96"/>
      <c r="DZV96"/>
      <c r="DZW96"/>
      <c r="DZX96"/>
      <c r="DZY96"/>
      <c r="DZZ96"/>
      <c r="EAA96"/>
      <c r="EAB96"/>
      <c r="EAC96"/>
      <c r="EAD96"/>
      <c r="EAE96"/>
      <c r="EAF96"/>
      <c r="EAG96"/>
      <c r="EAH96"/>
      <c r="EAI96"/>
      <c r="EAJ96"/>
      <c r="EAK96"/>
      <c r="EAL96"/>
      <c r="EAM96"/>
      <c r="EAN96"/>
      <c r="EAO96"/>
      <c r="EAP96"/>
      <c r="EAQ96"/>
      <c r="EAR96"/>
      <c r="EAS96"/>
      <c r="EAT96"/>
      <c r="EAU96"/>
      <c r="EAV96"/>
      <c r="EAW96"/>
      <c r="EAX96"/>
      <c r="EAY96"/>
      <c r="EAZ96"/>
      <c r="EBA96"/>
      <c r="EBB96"/>
      <c r="EBC96"/>
      <c r="EBD96"/>
      <c r="EBE96"/>
      <c r="EBF96"/>
      <c r="EBG96"/>
      <c r="EBH96"/>
      <c r="EBI96"/>
      <c r="EBJ96"/>
      <c r="EBK96"/>
      <c r="EBL96"/>
      <c r="EBM96"/>
      <c r="EBN96"/>
      <c r="EBO96"/>
      <c r="EBP96"/>
      <c r="EBQ96"/>
      <c r="EBR96"/>
      <c r="EBS96"/>
      <c r="EBT96"/>
      <c r="EBU96"/>
      <c r="EBV96"/>
      <c r="EBW96"/>
      <c r="EBX96"/>
      <c r="EBY96"/>
      <c r="EBZ96"/>
      <c r="ECA96"/>
      <c r="ECB96"/>
      <c r="ECC96"/>
      <c r="ECD96"/>
      <c r="ECE96"/>
      <c r="ECF96"/>
      <c r="ECG96"/>
      <c r="ECH96"/>
      <c r="ECI96"/>
      <c r="ECJ96"/>
      <c r="ECK96"/>
      <c r="ECL96"/>
      <c r="ECM96"/>
      <c r="ECN96"/>
      <c r="ECO96"/>
      <c r="ECP96"/>
      <c r="ECQ96"/>
      <c r="ECR96"/>
      <c r="ECS96"/>
      <c r="ECT96"/>
      <c r="ECU96"/>
      <c r="ECV96"/>
      <c r="ECW96"/>
      <c r="ECX96"/>
      <c r="ECY96"/>
      <c r="ECZ96"/>
      <c r="EDA96"/>
      <c r="EDB96"/>
      <c r="EDC96"/>
      <c r="EDD96"/>
      <c r="EDE96"/>
      <c r="EDF96"/>
      <c r="EDG96"/>
      <c r="EDH96"/>
      <c r="EDI96"/>
      <c r="EDJ96"/>
      <c r="EDK96"/>
      <c r="EDL96"/>
      <c r="EDM96"/>
      <c r="EDN96"/>
      <c r="EDO96"/>
      <c r="EDP96"/>
      <c r="EDQ96"/>
      <c r="EDR96"/>
      <c r="EDS96"/>
      <c r="EDT96"/>
      <c r="EDU96"/>
      <c r="EDV96"/>
      <c r="EDW96"/>
      <c r="EDX96"/>
      <c r="EDY96"/>
      <c r="EDZ96"/>
      <c r="EEA96"/>
      <c r="EEB96"/>
      <c r="EEC96"/>
      <c r="EED96"/>
      <c r="EEE96"/>
      <c r="EEF96"/>
      <c r="EEG96"/>
      <c r="EEH96"/>
      <c r="EEI96"/>
      <c r="EEJ96"/>
      <c r="EEK96"/>
      <c r="EEL96"/>
      <c r="EEM96"/>
      <c r="EEN96"/>
      <c r="EEO96"/>
      <c r="EEP96"/>
      <c r="EEQ96"/>
      <c r="EER96"/>
      <c r="EES96"/>
      <c r="EET96"/>
      <c r="EEU96"/>
      <c r="EEV96"/>
      <c r="EEW96"/>
      <c r="EEX96"/>
      <c r="EEY96"/>
      <c r="EEZ96"/>
      <c r="EFA96"/>
      <c r="EFB96"/>
      <c r="EFC96"/>
      <c r="EFD96"/>
      <c r="EFE96"/>
      <c r="EFF96"/>
      <c r="EFG96"/>
      <c r="EFH96"/>
      <c r="EFI96"/>
      <c r="EFJ96"/>
      <c r="EFK96"/>
      <c r="EFL96"/>
      <c r="EFM96"/>
      <c r="EFN96"/>
      <c r="EFO96"/>
      <c r="EFP96"/>
      <c r="EFQ96"/>
      <c r="EFR96"/>
      <c r="EFS96"/>
      <c r="EFT96"/>
      <c r="EFU96"/>
      <c r="EFV96"/>
      <c r="EFW96"/>
      <c r="EFX96"/>
      <c r="EFY96"/>
      <c r="EFZ96"/>
      <c r="EGA96"/>
      <c r="EGB96"/>
      <c r="EGC96"/>
      <c r="EGD96"/>
      <c r="EGE96"/>
      <c r="EGF96"/>
      <c r="EGG96"/>
      <c r="EGH96"/>
      <c r="EGI96"/>
      <c r="EGJ96"/>
      <c r="EGK96"/>
      <c r="EGL96"/>
      <c r="EGM96"/>
      <c r="EGN96"/>
      <c r="EGO96"/>
      <c r="EGP96"/>
      <c r="EGQ96"/>
      <c r="EGR96"/>
      <c r="EGS96"/>
      <c r="EGT96"/>
      <c r="EGU96"/>
      <c r="EGV96"/>
      <c r="EGW96"/>
      <c r="EGX96"/>
      <c r="EGY96"/>
      <c r="EGZ96"/>
      <c r="EHA96"/>
      <c r="EHB96"/>
      <c r="EHC96"/>
      <c r="EHD96"/>
      <c r="EHE96"/>
      <c r="EHF96"/>
      <c r="EHG96"/>
      <c r="EHH96"/>
      <c r="EHI96"/>
      <c r="EHJ96"/>
      <c r="EHK96"/>
      <c r="EHL96"/>
      <c r="EHM96"/>
      <c r="EHN96"/>
      <c r="EHO96"/>
      <c r="EHP96"/>
      <c r="EHQ96"/>
      <c r="EHR96"/>
      <c r="EHS96"/>
      <c r="EHT96"/>
      <c r="EHU96"/>
      <c r="EHV96"/>
      <c r="EHW96"/>
      <c r="EHX96"/>
      <c r="EHY96"/>
      <c r="EHZ96"/>
      <c r="EIA96"/>
      <c r="EIB96"/>
      <c r="EIC96"/>
      <c r="EID96"/>
      <c r="EIE96"/>
      <c r="EIF96"/>
      <c r="EIG96"/>
      <c r="EIH96"/>
      <c r="EII96"/>
      <c r="EIJ96"/>
      <c r="EIK96"/>
      <c r="EIL96"/>
      <c r="EIM96"/>
      <c r="EIN96"/>
      <c r="EIO96"/>
      <c r="EIP96"/>
      <c r="EIQ96"/>
      <c r="EIR96"/>
      <c r="EIS96"/>
      <c r="EIT96"/>
      <c r="EIU96"/>
      <c r="EIV96"/>
      <c r="EIW96"/>
      <c r="EIX96"/>
      <c r="EIY96"/>
      <c r="EIZ96"/>
      <c r="EJA96"/>
      <c r="EJB96"/>
      <c r="EJC96"/>
      <c r="EJD96"/>
      <c r="EJE96"/>
      <c r="EJF96"/>
      <c r="EJG96"/>
      <c r="EJH96"/>
      <c r="EJI96"/>
      <c r="EJJ96"/>
      <c r="EJK96"/>
      <c r="EJL96"/>
      <c r="EJM96"/>
      <c r="EJN96"/>
      <c r="EJO96"/>
      <c r="EJP96"/>
      <c r="EJQ96"/>
      <c r="EJR96"/>
      <c r="EJS96"/>
      <c r="EJT96"/>
      <c r="EJU96"/>
      <c r="EJV96"/>
      <c r="EJW96"/>
      <c r="EJX96"/>
      <c r="EJY96"/>
      <c r="EJZ96"/>
      <c r="EKA96"/>
      <c r="EKB96"/>
      <c r="EKC96"/>
      <c r="EKD96"/>
      <c r="EKE96"/>
      <c r="EKF96"/>
      <c r="EKG96"/>
      <c r="EKH96"/>
      <c r="EKI96"/>
      <c r="EKJ96"/>
      <c r="EKK96"/>
      <c r="EKL96"/>
      <c r="EKM96"/>
      <c r="EKN96"/>
      <c r="EKO96"/>
      <c r="EKP96"/>
      <c r="EKQ96"/>
      <c r="EKR96"/>
      <c r="EKS96"/>
      <c r="EKT96"/>
      <c r="EKU96"/>
      <c r="EKV96"/>
      <c r="EKW96"/>
      <c r="EKX96"/>
      <c r="EKY96"/>
      <c r="EKZ96"/>
      <c r="ELA96"/>
      <c r="ELB96"/>
      <c r="ELC96"/>
      <c r="ELD96"/>
      <c r="ELE96"/>
      <c r="ELF96"/>
      <c r="ELG96"/>
      <c r="ELH96"/>
      <c r="ELI96"/>
      <c r="ELJ96"/>
      <c r="ELK96"/>
      <c r="ELL96"/>
      <c r="ELM96"/>
      <c r="ELN96"/>
      <c r="ELO96"/>
      <c r="ELP96"/>
      <c r="ELQ96"/>
      <c r="ELR96"/>
      <c r="ELS96"/>
      <c r="ELT96"/>
      <c r="ELU96"/>
      <c r="ELV96"/>
      <c r="ELW96"/>
      <c r="ELX96"/>
      <c r="ELY96"/>
      <c r="ELZ96"/>
      <c r="EMA96"/>
      <c r="EMB96"/>
      <c r="EMC96"/>
      <c r="EMD96"/>
      <c r="EME96"/>
      <c r="EMF96"/>
      <c r="EMG96"/>
      <c r="EMH96"/>
      <c r="EMI96"/>
      <c r="EMJ96"/>
      <c r="EMK96"/>
      <c r="EML96"/>
      <c r="EMM96"/>
      <c r="EMN96"/>
      <c r="EMO96"/>
      <c r="EMP96"/>
      <c r="EMQ96"/>
      <c r="EMR96"/>
      <c r="EMS96"/>
      <c r="EMT96"/>
      <c r="EMU96"/>
      <c r="EMV96"/>
      <c r="EMW96"/>
      <c r="EMX96"/>
      <c r="EMY96"/>
      <c r="EMZ96"/>
      <c r="ENA96"/>
      <c r="ENB96"/>
      <c r="ENC96"/>
      <c r="END96"/>
      <c r="ENE96"/>
      <c r="ENF96"/>
      <c r="ENG96"/>
      <c r="ENH96"/>
      <c r="ENI96"/>
      <c r="ENJ96"/>
      <c r="ENK96"/>
      <c r="ENL96"/>
      <c r="ENM96"/>
      <c r="ENN96"/>
      <c r="ENO96"/>
      <c r="ENP96"/>
      <c r="ENQ96"/>
      <c r="ENR96"/>
      <c r="ENS96"/>
      <c r="ENT96"/>
      <c r="ENU96"/>
      <c r="ENV96"/>
      <c r="ENW96"/>
      <c r="ENX96"/>
      <c r="ENY96"/>
      <c r="ENZ96"/>
      <c r="EOA96"/>
      <c r="EOB96"/>
      <c r="EOC96"/>
      <c r="EOD96"/>
      <c r="EOE96"/>
      <c r="EOF96"/>
      <c r="EOG96"/>
      <c r="EOH96"/>
      <c r="EOI96"/>
      <c r="EOJ96"/>
      <c r="EOK96"/>
      <c r="EOL96"/>
      <c r="EOM96"/>
      <c r="EON96"/>
      <c r="EOO96"/>
      <c r="EOP96"/>
      <c r="EOQ96"/>
      <c r="EOR96"/>
      <c r="EOS96"/>
      <c r="EOT96"/>
      <c r="EOU96"/>
      <c r="EOV96"/>
      <c r="EOW96"/>
      <c r="EOX96"/>
      <c r="EOY96"/>
      <c r="EOZ96"/>
      <c r="EPA96"/>
      <c r="EPB96"/>
      <c r="EPC96"/>
      <c r="EPD96"/>
      <c r="EPE96"/>
      <c r="EPF96"/>
      <c r="EPG96"/>
      <c r="EPH96"/>
      <c r="EPI96"/>
      <c r="EPJ96"/>
      <c r="EPK96"/>
      <c r="EPL96"/>
      <c r="EPM96"/>
      <c r="EPN96"/>
      <c r="EPO96"/>
      <c r="EPP96"/>
      <c r="EPQ96"/>
      <c r="EPR96"/>
      <c r="EPS96"/>
      <c r="EPT96"/>
      <c r="EPU96"/>
      <c r="EPV96"/>
      <c r="EPW96"/>
      <c r="EPX96"/>
      <c r="EPY96"/>
      <c r="EPZ96"/>
      <c r="EQA96"/>
      <c r="EQB96"/>
      <c r="EQC96"/>
      <c r="EQD96"/>
      <c r="EQE96"/>
      <c r="EQF96"/>
      <c r="EQG96"/>
      <c r="EQH96"/>
      <c r="EQI96"/>
      <c r="EQJ96"/>
      <c r="EQK96"/>
      <c r="EQL96"/>
      <c r="EQM96"/>
      <c r="EQN96"/>
      <c r="EQO96"/>
      <c r="EQP96"/>
      <c r="EQQ96"/>
      <c r="EQR96"/>
      <c r="EQS96"/>
      <c r="EQT96"/>
      <c r="EQU96"/>
      <c r="EQV96"/>
      <c r="EQW96"/>
      <c r="EQX96"/>
      <c r="EQY96"/>
      <c r="EQZ96"/>
      <c r="ERA96"/>
      <c r="ERB96"/>
      <c r="ERC96"/>
      <c r="ERD96"/>
      <c r="ERE96"/>
      <c r="ERF96"/>
      <c r="ERG96"/>
      <c r="ERH96"/>
      <c r="ERI96"/>
      <c r="ERJ96"/>
      <c r="ERK96"/>
      <c r="ERL96"/>
      <c r="ERM96"/>
      <c r="ERN96"/>
      <c r="ERO96"/>
      <c r="ERP96"/>
      <c r="ERQ96"/>
      <c r="ERR96"/>
      <c r="ERS96"/>
      <c r="ERT96"/>
      <c r="ERU96"/>
      <c r="ERV96"/>
      <c r="ERW96"/>
      <c r="ERX96"/>
      <c r="ERY96"/>
      <c r="ERZ96"/>
      <c r="ESA96"/>
      <c r="ESB96"/>
      <c r="ESC96"/>
      <c r="ESD96"/>
      <c r="ESE96"/>
      <c r="ESF96"/>
      <c r="ESG96"/>
      <c r="ESH96"/>
      <c r="ESI96"/>
      <c r="ESJ96"/>
      <c r="ESK96"/>
      <c r="ESL96"/>
      <c r="ESM96"/>
      <c r="ESN96"/>
      <c r="ESO96"/>
      <c r="ESP96"/>
      <c r="ESQ96"/>
      <c r="ESR96"/>
      <c r="ESS96"/>
      <c r="EST96"/>
      <c r="ESU96"/>
      <c r="ESV96"/>
      <c r="ESW96"/>
      <c r="ESX96"/>
      <c r="ESY96"/>
      <c r="ESZ96"/>
      <c r="ETA96"/>
      <c r="ETB96"/>
      <c r="ETC96"/>
      <c r="ETD96"/>
      <c r="ETE96"/>
      <c r="ETF96"/>
      <c r="ETG96"/>
      <c r="ETH96"/>
      <c r="ETI96"/>
      <c r="ETJ96"/>
      <c r="ETK96"/>
      <c r="ETL96"/>
      <c r="ETM96"/>
      <c r="ETN96"/>
      <c r="ETO96"/>
      <c r="ETP96"/>
      <c r="ETQ96"/>
      <c r="ETR96"/>
      <c r="ETS96"/>
      <c r="ETT96"/>
      <c r="ETU96"/>
      <c r="ETV96"/>
      <c r="ETW96"/>
      <c r="ETX96"/>
      <c r="ETY96"/>
      <c r="ETZ96"/>
      <c r="EUA96"/>
      <c r="EUB96"/>
      <c r="EUC96"/>
      <c r="EUD96"/>
      <c r="EUE96"/>
      <c r="EUF96"/>
      <c r="EUG96"/>
      <c r="EUH96"/>
      <c r="EUI96"/>
      <c r="EUJ96"/>
      <c r="EUK96"/>
      <c r="EUL96"/>
      <c r="EUM96"/>
      <c r="EUN96"/>
      <c r="EUO96"/>
      <c r="EUP96"/>
      <c r="EUQ96"/>
      <c r="EUR96"/>
      <c r="EUS96"/>
      <c r="EUT96"/>
      <c r="EUU96"/>
      <c r="EUV96"/>
      <c r="EUW96"/>
      <c r="EUX96"/>
      <c r="EUY96"/>
      <c r="EUZ96"/>
      <c r="EVA96"/>
      <c r="EVB96"/>
      <c r="EVC96"/>
      <c r="EVD96"/>
      <c r="EVE96"/>
      <c r="EVF96"/>
      <c r="EVG96"/>
      <c r="EVH96"/>
      <c r="EVI96"/>
      <c r="EVJ96"/>
      <c r="EVK96"/>
      <c r="EVL96"/>
      <c r="EVM96"/>
      <c r="EVN96"/>
      <c r="EVO96"/>
      <c r="EVP96"/>
      <c r="EVQ96"/>
      <c r="EVR96"/>
      <c r="EVS96"/>
      <c r="EVT96"/>
      <c r="EVU96"/>
      <c r="EVV96"/>
      <c r="EVW96"/>
      <c r="EVX96"/>
      <c r="EVY96"/>
      <c r="EVZ96"/>
      <c r="EWA96"/>
      <c r="EWB96"/>
      <c r="EWC96"/>
      <c r="EWD96"/>
      <c r="EWE96"/>
      <c r="EWF96"/>
      <c r="EWG96"/>
      <c r="EWH96"/>
      <c r="EWI96"/>
      <c r="EWJ96"/>
      <c r="EWK96"/>
      <c r="EWL96"/>
      <c r="EWM96"/>
      <c r="EWN96"/>
      <c r="EWO96"/>
      <c r="EWP96"/>
      <c r="EWQ96"/>
      <c r="EWR96"/>
      <c r="EWS96"/>
      <c r="EWT96"/>
      <c r="EWU96"/>
      <c r="EWV96"/>
      <c r="EWW96"/>
      <c r="EWX96"/>
      <c r="EWY96"/>
      <c r="EWZ96"/>
      <c r="EXA96"/>
      <c r="EXB96"/>
      <c r="EXC96"/>
      <c r="EXD96"/>
      <c r="EXE96"/>
      <c r="EXF96"/>
      <c r="EXG96"/>
      <c r="EXH96"/>
      <c r="EXI96"/>
      <c r="EXJ96"/>
      <c r="EXK96"/>
      <c r="EXL96"/>
      <c r="EXM96"/>
      <c r="EXN96"/>
      <c r="EXO96"/>
      <c r="EXP96"/>
      <c r="EXQ96"/>
      <c r="EXR96"/>
      <c r="EXS96"/>
      <c r="EXT96"/>
      <c r="EXU96"/>
      <c r="EXV96"/>
      <c r="EXW96"/>
      <c r="EXX96"/>
      <c r="EXY96"/>
      <c r="EXZ96"/>
      <c r="EYA96"/>
      <c r="EYB96"/>
      <c r="EYC96"/>
      <c r="EYD96"/>
      <c r="EYE96"/>
      <c r="EYF96"/>
      <c r="EYG96"/>
      <c r="EYH96"/>
      <c r="EYI96"/>
      <c r="EYJ96"/>
      <c r="EYK96"/>
      <c r="EYL96"/>
      <c r="EYM96"/>
      <c r="EYN96"/>
      <c r="EYO96"/>
      <c r="EYP96"/>
      <c r="EYQ96"/>
      <c r="EYR96"/>
      <c r="EYS96"/>
      <c r="EYT96"/>
      <c r="EYU96"/>
      <c r="EYV96"/>
      <c r="EYW96"/>
      <c r="EYX96"/>
      <c r="EYY96"/>
      <c r="EYZ96"/>
      <c r="EZA96"/>
      <c r="EZB96"/>
      <c r="EZC96"/>
      <c r="EZD96"/>
      <c r="EZE96"/>
      <c r="EZF96"/>
      <c r="EZG96"/>
      <c r="EZH96"/>
      <c r="EZI96"/>
      <c r="EZJ96"/>
      <c r="EZK96"/>
      <c r="EZL96"/>
      <c r="EZM96"/>
      <c r="EZN96"/>
      <c r="EZO96"/>
      <c r="EZP96"/>
      <c r="EZQ96"/>
      <c r="EZR96"/>
      <c r="EZS96"/>
      <c r="EZT96"/>
      <c r="EZU96"/>
      <c r="EZV96"/>
      <c r="EZW96"/>
      <c r="EZX96"/>
      <c r="EZY96"/>
      <c r="EZZ96"/>
      <c r="FAA96"/>
      <c r="FAB96"/>
      <c r="FAC96"/>
      <c r="FAD96"/>
      <c r="FAE96"/>
      <c r="FAF96"/>
      <c r="FAG96"/>
      <c r="FAH96"/>
      <c r="FAI96"/>
      <c r="FAJ96"/>
      <c r="FAK96"/>
      <c r="FAL96"/>
      <c r="FAM96"/>
      <c r="FAN96"/>
      <c r="FAO96"/>
      <c r="FAP96"/>
      <c r="FAQ96"/>
      <c r="FAR96"/>
      <c r="FAS96"/>
      <c r="FAT96"/>
      <c r="FAU96"/>
      <c r="FAV96"/>
      <c r="FAW96"/>
      <c r="FAX96"/>
      <c r="FAY96"/>
      <c r="FAZ96"/>
      <c r="FBA96"/>
      <c r="FBB96"/>
      <c r="FBC96"/>
      <c r="FBD96"/>
      <c r="FBE96"/>
      <c r="FBF96"/>
      <c r="FBG96"/>
      <c r="FBH96"/>
      <c r="FBI96"/>
      <c r="FBJ96"/>
      <c r="FBK96"/>
      <c r="FBL96"/>
      <c r="FBM96"/>
      <c r="FBN96"/>
      <c r="FBO96"/>
      <c r="FBP96"/>
      <c r="FBQ96"/>
      <c r="FBR96"/>
      <c r="FBS96"/>
      <c r="FBT96"/>
      <c r="FBU96"/>
      <c r="FBV96"/>
      <c r="FBW96"/>
      <c r="FBX96"/>
      <c r="FBY96"/>
      <c r="FBZ96"/>
      <c r="FCA96"/>
      <c r="FCB96"/>
      <c r="FCC96"/>
      <c r="FCD96"/>
      <c r="FCE96"/>
      <c r="FCF96"/>
      <c r="FCG96"/>
      <c r="FCH96"/>
      <c r="FCI96"/>
      <c r="FCJ96"/>
      <c r="FCK96"/>
      <c r="FCL96"/>
      <c r="FCM96"/>
      <c r="FCN96"/>
      <c r="FCO96"/>
      <c r="FCP96"/>
      <c r="FCQ96"/>
      <c r="FCR96"/>
      <c r="FCS96"/>
      <c r="FCT96"/>
      <c r="FCU96"/>
      <c r="FCV96"/>
      <c r="FCW96"/>
      <c r="FCX96"/>
      <c r="FCY96"/>
      <c r="FCZ96"/>
      <c r="FDA96"/>
      <c r="FDB96"/>
      <c r="FDC96"/>
      <c r="FDD96"/>
      <c r="FDE96"/>
      <c r="FDF96"/>
      <c r="FDG96"/>
      <c r="FDH96"/>
      <c r="FDI96"/>
      <c r="FDJ96"/>
      <c r="FDK96"/>
      <c r="FDL96"/>
      <c r="FDM96"/>
      <c r="FDN96"/>
      <c r="FDO96"/>
      <c r="FDP96"/>
      <c r="FDQ96"/>
      <c r="FDR96"/>
      <c r="FDS96"/>
      <c r="FDT96"/>
      <c r="FDU96"/>
      <c r="FDV96"/>
      <c r="FDW96"/>
      <c r="FDX96"/>
      <c r="FDY96"/>
      <c r="FDZ96"/>
      <c r="FEA96"/>
      <c r="FEB96"/>
      <c r="FEC96"/>
      <c r="FED96"/>
      <c r="FEE96"/>
      <c r="FEF96"/>
      <c r="FEG96"/>
      <c r="FEH96"/>
      <c r="FEI96"/>
      <c r="FEJ96"/>
      <c r="FEK96"/>
      <c r="FEL96"/>
      <c r="FEM96"/>
      <c r="FEN96"/>
      <c r="FEO96"/>
      <c r="FEP96"/>
      <c r="FEQ96"/>
      <c r="FER96"/>
      <c r="FES96"/>
      <c r="FET96"/>
      <c r="FEU96"/>
      <c r="FEV96"/>
      <c r="FEW96"/>
      <c r="FEX96"/>
      <c r="FEY96"/>
      <c r="FEZ96"/>
      <c r="FFA96"/>
      <c r="FFB96"/>
      <c r="FFC96"/>
      <c r="FFD96"/>
      <c r="FFE96"/>
      <c r="FFF96"/>
      <c r="FFG96"/>
      <c r="FFH96"/>
      <c r="FFI96"/>
      <c r="FFJ96"/>
      <c r="FFK96"/>
      <c r="FFL96"/>
      <c r="FFM96"/>
      <c r="FFN96"/>
      <c r="FFO96"/>
      <c r="FFP96"/>
      <c r="FFQ96"/>
      <c r="FFR96"/>
      <c r="FFS96"/>
      <c r="FFT96"/>
      <c r="FFU96"/>
      <c r="FFV96"/>
      <c r="FFW96"/>
      <c r="FFX96"/>
      <c r="FFY96"/>
      <c r="FFZ96"/>
      <c r="FGA96"/>
      <c r="FGB96"/>
      <c r="FGC96"/>
      <c r="FGD96"/>
      <c r="FGE96"/>
      <c r="FGF96"/>
      <c r="FGG96"/>
      <c r="FGH96"/>
      <c r="FGI96"/>
      <c r="FGJ96"/>
      <c r="FGK96"/>
      <c r="FGL96"/>
      <c r="FGM96"/>
      <c r="FGN96"/>
      <c r="FGO96"/>
      <c r="FGP96"/>
      <c r="FGQ96"/>
      <c r="FGR96"/>
      <c r="FGS96"/>
      <c r="FGT96"/>
      <c r="FGU96"/>
      <c r="FGV96"/>
      <c r="FGW96"/>
      <c r="FGX96"/>
      <c r="FGY96"/>
      <c r="FGZ96"/>
      <c r="FHA96"/>
      <c r="FHB96"/>
      <c r="FHC96"/>
      <c r="FHD96"/>
      <c r="FHE96"/>
      <c r="FHF96"/>
      <c r="FHG96"/>
      <c r="FHH96"/>
      <c r="FHI96"/>
      <c r="FHJ96"/>
      <c r="FHK96"/>
      <c r="FHL96"/>
      <c r="FHM96"/>
      <c r="FHN96"/>
      <c r="FHO96"/>
      <c r="FHP96"/>
      <c r="FHQ96"/>
      <c r="FHR96"/>
      <c r="FHS96"/>
      <c r="FHT96"/>
      <c r="FHU96"/>
      <c r="FHV96"/>
      <c r="FHW96"/>
      <c r="FHX96"/>
      <c r="FHY96"/>
      <c r="FHZ96"/>
      <c r="FIA96"/>
      <c r="FIB96"/>
      <c r="FIC96"/>
      <c r="FID96"/>
      <c r="FIE96"/>
      <c r="FIF96"/>
      <c r="FIG96"/>
      <c r="FIH96"/>
      <c r="FII96"/>
      <c r="FIJ96"/>
      <c r="FIK96"/>
      <c r="FIL96"/>
      <c r="FIM96"/>
      <c r="FIN96"/>
      <c r="FIO96"/>
      <c r="FIP96"/>
      <c r="FIQ96"/>
      <c r="FIR96"/>
      <c r="FIS96"/>
      <c r="FIT96"/>
      <c r="FIU96"/>
      <c r="FIV96"/>
      <c r="FIW96"/>
      <c r="FIX96"/>
      <c r="FIY96"/>
      <c r="FIZ96"/>
      <c r="FJA96"/>
      <c r="FJB96"/>
      <c r="FJC96"/>
      <c r="FJD96"/>
      <c r="FJE96"/>
      <c r="FJF96"/>
      <c r="FJG96"/>
      <c r="FJH96"/>
      <c r="FJI96"/>
      <c r="FJJ96"/>
      <c r="FJK96"/>
      <c r="FJL96"/>
      <c r="FJM96"/>
      <c r="FJN96"/>
      <c r="FJO96"/>
      <c r="FJP96"/>
      <c r="FJQ96"/>
      <c r="FJR96"/>
      <c r="FJS96"/>
      <c r="FJT96"/>
      <c r="FJU96"/>
      <c r="FJV96"/>
      <c r="FJW96"/>
      <c r="FJX96"/>
      <c r="FJY96"/>
      <c r="FJZ96"/>
      <c r="FKA96"/>
      <c r="FKB96"/>
      <c r="FKC96"/>
      <c r="FKD96"/>
      <c r="FKE96"/>
      <c r="FKF96"/>
      <c r="FKG96"/>
      <c r="FKH96"/>
      <c r="FKI96"/>
      <c r="FKJ96"/>
      <c r="FKK96"/>
      <c r="FKL96"/>
      <c r="FKM96"/>
      <c r="FKN96"/>
      <c r="FKO96"/>
      <c r="FKP96"/>
      <c r="FKQ96"/>
      <c r="FKR96"/>
      <c r="FKS96"/>
      <c r="FKT96"/>
      <c r="FKU96"/>
      <c r="FKV96"/>
      <c r="FKW96"/>
      <c r="FKX96"/>
      <c r="FKY96"/>
      <c r="FKZ96"/>
      <c r="FLA96"/>
      <c r="FLB96"/>
      <c r="FLC96"/>
      <c r="FLD96"/>
      <c r="FLE96"/>
      <c r="FLF96"/>
      <c r="FLG96"/>
      <c r="FLH96"/>
      <c r="FLI96"/>
      <c r="FLJ96"/>
      <c r="FLK96"/>
      <c r="FLL96"/>
      <c r="FLM96"/>
      <c r="FLN96"/>
      <c r="FLO96"/>
      <c r="FLP96"/>
      <c r="FLQ96"/>
      <c r="FLR96"/>
      <c r="FLS96"/>
      <c r="FLT96"/>
      <c r="FLU96"/>
      <c r="FLV96"/>
      <c r="FLW96"/>
      <c r="FLX96"/>
      <c r="FLY96"/>
      <c r="FLZ96"/>
      <c r="FMA96"/>
      <c r="FMB96"/>
      <c r="FMC96"/>
      <c r="FMD96"/>
      <c r="FME96"/>
      <c r="FMF96"/>
      <c r="FMG96"/>
      <c r="FMH96"/>
      <c r="FMI96"/>
      <c r="FMJ96"/>
      <c r="FMK96"/>
      <c r="FML96"/>
      <c r="FMM96"/>
      <c r="FMN96"/>
      <c r="FMO96"/>
      <c r="FMP96"/>
      <c r="FMQ96"/>
      <c r="FMR96"/>
      <c r="FMS96"/>
      <c r="FMT96"/>
      <c r="FMU96"/>
      <c r="FMV96"/>
      <c r="FMW96"/>
      <c r="FMX96"/>
      <c r="FMY96"/>
      <c r="FMZ96"/>
      <c r="FNA96"/>
      <c r="FNB96"/>
      <c r="FNC96"/>
      <c r="FND96"/>
      <c r="FNE96"/>
      <c r="FNF96"/>
      <c r="FNG96"/>
      <c r="FNH96"/>
      <c r="FNI96"/>
      <c r="FNJ96"/>
      <c r="FNK96"/>
      <c r="FNL96"/>
      <c r="FNM96"/>
      <c r="FNN96"/>
      <c r="FNO96"/>
      <c r="FNP96"/>
      <c r="FNQ96"/>
      <c r="FNR96"/>
      <c r="FNS96"/>
      <c r="FNT96"/>
      <c r="FNU96"/>
      <c r="FNV96"/>
      <c r="FNW96"/>
      <c r="FNX96"/>
      <c r="FNY96"/>
      <c r="FNZ96"/>
      <c r="FOA96"/>
      <c r="FOB96"/>
      <c r="FOC96"/>
      <c r="FOD96"/>
      <c r="FOE96"/>
      <c r="FOF96"/>
      <c r="FOG96"/>
      <c r="FOH96"/>
      <c r="FOI96"/>
      <c r="FOJ96"/>
      <c r="FOK96"/>
      <c r="FOL96"/>
      <c r="FOM96"/>
      <c r="FON96"/>
      <c r="FOO96"/>
      <c r="FOP96"/>
      <c r="FOQ96"/>
      <c r="FOR96"/>
      <c r="FOS96"/>
      <c r="FOT96"/>
      <c r="FOU96"/>
      <c r="FOV96"/>
      <c r="FOW96"/>
      <c r="FOX96"/>
      <c r="FOY96"/>
      <c r="FOZ96"/>
      <c r="FPA96"/>
      <c r="FPB96"/>
      <c r="FPC96"/>
      <c r="FPD96"/>
      <c r="FPE96"/>
      <c r="FPF96"/>
      <c r="FPG96"/>
      <c r="FPH96"/>
      <c r="FPI96"/>
      <c r="FPJ96"/>
      <c r="FPK96"/>
      <c r="FPL96"/>
      <c r="FPM96"/>
      <c r="FPN96"/>
      <c r="FPO96"/>
      <c r="FPP96"/>
      <c r="FPQ96"/>
      <c r="FPR96"/>
      <c r="FPS96"/>
      <c r="FPT96"/>
      <c r="FPU96"/>
      <c r="FPV96"/>
      <c r="FPW96"/>
      <c r="FPX96"/>
      <c r="FPY96"/>
      <c r="FPZ96"/>
      <c r="FQA96"/>
      <c r="FQB96"/>
      <c r="FQC96"/>
      <c r="FQD96"/>
      <c r="FQE96"/>
      <c r="FQF96"/>
      <c r="FQG96"/>
      <c r="FQH96"/>
      <c r="FQI96"/>
      <c r="FQJ96"/>
      <c r="FQK96"/>
      <c r="FQL96"/>
      <c r="FQM96"/>
      <c r="FQN96"/>
      <c r="FQO96"/>
      <c r="FQP96"/>
      <c r="FQQ96"/>
      <c r="FQR96"/>
      <c r="FQS96"/>
      <c r="FQT96"/>
      <c r="FQU96"/>
      <c r="FQV96"/>
      <c r="FQW96"/>
      <c r="FQX96"/>
      <c r="FQY96"/>
      <c r="FQZ96"/>
      <c r="FRA96"/>
      <c r="FRB96"/>
      <c r="FRC96"/>
      <c r="FRD96"/>
      <c r="FRE96"/>
      <c r="FRF96"/>
      <c r="FRG96"/>
      <c r="FRH96"/>
      <c r="FRI96"/>
      <c r="FRJ96"/>
      <c r="FRK96"/>
      <c r="FRL96"/>
      <c r="FRM96"/>
      <c r="FRN96"/>
      <c r="FRO96"/>
      <c r="FRP96"/>
      <c r="FRQ96"/>
      <c r="FRR96"/>
      <c r="FRS96"/>
      <c r="FRT96"/>
      <c r="FRU96"/>
      <c r="FRV96"/>
      <c r="FRW96"/>
      <c r="FRX96"/>
      <c r="FRY96"/>
      <c r="FRZ96"/>
      <c r="FSA96"/>
      <c r="FSB96"/>
      <c r="FSC96"/>
      <c r="FSD96"/>
      <c r="FSE96"/>
      <c r="FSF96"/>
      <c r="FSG96"/>
      <c r="FSH96"/>
      <c r="FSI96"/>
      <c r="FSJ96"/>
      <c r="FSK96"/>
      <c r="FSL96"/>
      <c r="FSM96"/>
      <c r="FSN96"/>
      <c r="FSO96"/>
      <c r="FSP96"/>
      <c r="FSQ96"/>
      <c r="FSR96"/>
      <c r="FSS96"/>
      <c r="FST96"/>
      <c r="FSU96"/>
      <c r="FSV96"/>
      <c r="FSW96"/>
      <c r="FSX96"/>
      <c r="FSY96"/>
      <c r="FSZ96"/>
      <c r="FTA96"/>
      <c r="FTB96"/>
      <c r="FTC96"/>
      <c r="FTD96"/>
      <c r="FTE96"/>
      <c r="FTF96"/>
      <c r="FTG96"/>
      <c r="FTH96"/>
      <c r="FTI96"/>
      <c r="FTJ96"/>
      <c r="FTK96"/>
      <c r="FTL96"/>
      <c r="FTM96"/>
      <c r="FTN96"/>
      <c r="FTO96"/>
      <c r="FTP96"/>
      <c r="FTQ96"/>
      <c r="FTR96"/>
      <c r="FTS96"/>
      <c r="FTT96"/>
      <c r="FTU96"/>
      <c r="FTV96"/>
      <c r="FTW96"/>
      <c r="FTX96"/>
      <c r="FTY96"/>
      <c r="FTZ96"/>
      <c r="FUA96"/>
      <c r="FUB96"/>
      <c r="FUC96"/>
      <c r="FUD96"/>
      <c r="FUE96"/>
      <c r="FUF96"/>
      <c r="FUG96"/>
      <c r="FUH96"/>
      <c r="FUI96"/>
      <c r="FUJ96"/>
      <c r="FUK96"/>
      <c r="FUL96"/>
      <c r="FUM96"/>
      <c r="FUN96"/>
      <c r="FUO96"/>
      <c r="FUP96"/>
      <c r="FUQ96"/>
      <c r="FUR96"/>
      <c r="FUS96"/>
      <c r="FUT96"/>
      <c r="FUU96"/>
      <c r="FUV96"/>
      <c r="FUW96"/>
      <c r="FUX96"/>
      <c r="FUY96"/>
      <c r="FUZ96"/>
      <c r="FVA96"/>
      <c r="FVB96"/>
      <c r="FVC96"/>
      <c r="FVD96"/>
      <c r="FVE96"/>
      <c r="FVF96"/>
      <c r="FVG96"/>
      <c r="FVH96"/>
      <c r="FVI96"/>
      <c r="FVJ96"/>
      <c r="FVK96"/>
      <c r="FVL96"/>
      <c r="FVM96"/>
      <c r="FVN96"/>
      <c r="FVO96"/>
      <c r="FVP96"/>
      <c r="FVQ96"/>
      <c r="FVR96"/>
      <c r="FVS96"/>
      <c r="FVT96"/>
      <c r="FVU96"/>
      <c r="FVV96"/>
      <c r="FVW96"/>
      <c r="FVX96"/>
      <c r="FVY96"/>
      <c r="FVZ96"/>
      <c r="FWA96"/>
      <c r="FWB96"/>
      <c r="FWC96"/>
      <c r="FWD96"/>
      <c r="FWE96"/>
      <c r="FWF96"/>
      <c r="FWG96"/>
      <c r="FWH96"/>
      <c r="FWI96"/>
      <c r="FWJ96"/>
      <c r="FWK96"/>
      <c r="FWL96"/>
      <c r="FWM96"/>
      <c r="FWN96"/>
      <c r="FWO96"/>
      <c r="FWP96"/>
      <c r="FWQ96"/>
      <c r="FWR96"/>
      <c r="FWS96"/>
      <c r="FWT96"/>
      <c r="FWU96"/>
      <c r="FWV96"/>
      <c r="FWW96"/>
      <c r="FWX96"/>
      <c r="FWY96"/>
      <c r="FWZ96"/>
      <c r="FXA96"/>
      <c r="FXB96"/>
      <c r="FXC96"/>
      <c r="FXD96"/>
      <c r="FXE96"/>
      <c r="FXF96"/>
      <c r="FXG96"/>
      <c r="FXH96"/>
      <c r="FXI96"/>
      <c r="FXJ96"/>
      <c r="FXK96"/>
      <c r="FXL96"/>
      <c r="FXM96"/>
      <c r="FXN96"/>
      <c r="FXO96"/>
      <c r="FXP96"/>
      <c r="FXQ96"/>
      <c r="FXR96"/>
      <c r="FXS96"/>
      <c r="FXT96"/>
      <c r="FXU96"/>
      <c r="FXV96"/>
      <c r="FXW96"/>
      <c r="FXX96"/>
      <c r="FXY96"/>
      <c r="FXZ96"/>
      <c r="FYA96"/>
      <c r="FYB96"/>
      <c r="FYC96"/>
      <c r="FYD96"/>
      <c r="FYE96"/>
      <c r="FYF96"/>
      <c r="FYG96"/>
      <c r="FYH96"/>
      <c r="FYI96"/>
      <c r="FYJ96"/>
      <c r="FYK96"/>
      <c r="FYL96"/>
      <c r="FYM96"/>
      <c r="FYN96"/>
      <c r="FYO96"/>
      <c r="FYP96"/>
      <c r="FYQ96"/>
      <c r="FYR96"/>
      <c r="FYS96"/>
      <c r="FYT96"/>
      <c r="FYU96"/>
      <c r="FYV96"/>
      <c r="FYW96"/>
      <c r="FYX96"/>
      <c r="FYY96"/>
      <c r="FYZ96"/>
      <c r="FZA96"/>
      <c r="FZB96"/>
      <c r="FZC96"/>
      <c r="FZD96"/>
      <c r="FZE96"/>
      <c r="FZF96"/>
      <c r="FZG96"/>
      <c r="FZH96"/>
      <c r="FZI96"/>
      <c r="FZJ96"/>
      <c r="FZK96"/>
      <c r="FZL96"/>
      <c r="FZM96"/>
      <c r="FZN96"/>
      <c r="FZO96"/>
      <c r="FZP96"/>
      <c r="FZQ96"/>
      <c r="FZR96"/>
      <c r="FZS96"/>
      <c r="FZT96"/>
      <c r="FZU96"/>
      <c r="FZV96"/>
      <c r="FZW96"/>
      <c r="FZX96"/>
      <c r="FZY96"/>
      <c r="FZZ96"/>
      <c r="GAA96"/>
      <c r="GAB96"/>
      <c r="GAC96"/>
      <c r="GAD96"/>
      <c r="GAE96"/>
      <c r="GAF96"/>
      <c r="GAG96"/>
      <c r="GAH96"/>
      <c r="GAI96"/>
      <c r="GAJ96"/>
      <c r="GAK96"/>
      <c r="GAL96"/>
      <c r="GAM96"/>
      <c r="GAN96"/>
      <c r="GAO96"/>
      <c r="GAP96"/>
      <c r="GAQ96"/>
      <c r="GAR96"/>
      <c r="GAS96"/>
      <c r="GAT96"/>
      <c r="GAU96"/>
      <c r="GAV96"/>
      <c r="GAW96"/>
      <c r="GAX96"/>
      <c r="GAY96"/>
      <c r="GAZ96"/>
      <c r="GBA96"/>
      <c r="GBB96"/>
      <c r="GBC96"/>
      <c r="GBD96"/>
      <c r="GBE96"/>
      <c r="GBF96"/>
      <c r="GBG96"/>
      <c r="GBH96"/>
      <c r="GBI96"/>
      <c r="GBJ96"/>
      <c r="GBK96"/>
      <c r="GBL96"/>
      <c r="GBM96"/>
      <c r="GBN96"/>
      <c r="GBO96"/>
      <c r="GBP96"/>
      <c r="GBQ96"/>
      <c r="GBR96"/>
      <c r="GBS96"/>
      <c r="GBT96"/>
      <c r="GBU96"/>
      <c r="GBV96"/>
      <c r="GBW96"/>
      <c r="GBX96"/>
      <c r="GBY96"/>
      <c r="GBZ96"/>
      <c r="GCA96"/>
      <c r="GCB96"/>
      <c r="GCC96"/>
      <c r="GCD96"/>
      <c r="GCE96"/>
      <c r="GCF96"/>
      <c r="GCG96"/>
      <c r="GCH96"/>
      <c r="GCI96"/>
      <c r="GCJ96"/>
      <c r="GCK96"/>
      <c r="GCL96"/>
      <c r="GCM96"/>
      <c r="GCN96"/>
      <c r="GCO96"/>
      <c r="GCP96"/>
      <c r="GCQ96"/>
      <c r="GCR96"/>
      <c r="GCS96"/>
      <c r="GCT96"/>
      <c r="GCU96"/>
      <c r="GCV96"/>
      <c r="GCW96"/>
      <c r="GCX96"/>
      <c r="GCY96"/>
      <c r="GCZ96"/>
      <c r="GDA96"/>
      <c r="GDB96"/>
      <c r="GDC96"/>
      <c r="GDD96"/>
      <c r="GDE96"/>
      <c r="GDF96"/>
      <c r="GDG96"/>
      <c r="GDH96"/>
      <c r="GDI96"/>
      <c r="GDJ96"/>
      <c r="GDK96"/>
      <c r="GDL96"/>
      <c r="GDM96"/>
      <c r="GDN96"/>
      <c r="GDO96"/>
      <c r="GDP96"/>
      <c r="GDQ96"/>
      <c r="GDR96"/>
      <c r="GDS96"/>
      <c r="GDT96"/>
      <c r="GDU96"/>
      <c r="GDV96"/>
      <c r="GDW96"/>
      <c r="GDX96"/>
      <c r="GDY96"/>
      <c r="GDZ96"/>
      <c r="GEA96"/>
      <c r="GEB96"/>
      <c r="GEC96"/>
      <c r="GED96"/>
      <c r="GEE96"/>
      <c r="GEF96"/>
      <c r="GEG96"/>
      <c r="GEH96"/>
      <c r="GEI96"/>
      <c r="GEJ96"/>
      <c r="GEK96"/>
      <c r="GEL96"/>
      <c r="GEM96"/>
      <c r="GEN96"/>
      <c r="GEO96"/>
      <c r="GEP96"/>
      <c r="GEQ96"/>
      <c r="GER96"/>
      <c r="GES96"/>
      <c r="GET96"/>
      <c r="GEU96"/>
      <c r="GEV96"/>
      <c r="GEW96"/>
      <c r="GEX96"/>
      <c r="GEY96"/>
      <c r="GEZ96"/>
      <c r="GFA96"/>
      <c r="GFB96"/>
      <c r="GFC96"/>
      <c r="GFD96"/>
      <c r="GFE96"/>
      <c r="GFF96"/>
      <c r="GFG96"/>
      <c r="GFH96"/>
      <c r="GFI96"/>
      <c r="GFJ96"/>
      <c r="GFK96"/>
      <c r="GFL96"/>
      <c r="GFM96"/>
      <c r="GFN96"/>
      <c r="GFO96"/>
      <c r="GFP96"/>
      <c r="GFQ96"/>
      <c r="GFR96"/>
      <c r="GFS96"/>
      <c r="GFT96"/>
      <c r="GFU96"/>
      <c r="GFV96"/>
      <c r="GFW96"/>
      <c r="GFX96"/>
      <c r="GFY96"/>
      <c r="GFZ96"/>
      <c r="GGA96"/>
      <c r="GGB96"/>
      <c r="GGC96"/>
      <c r="GGD96"/>
      <c r="GGE96"/>
      <c r="GGF96"/>
      <c r="GGG96"/>
      <c r="GGH96"/>
      <c r="GGI96"/>
      <c r="GGJ96"/>
      <c r="GGK96"/>
      <c r="GGL96"/>
      <c r="GGM96"/>
      <c r="GGN96"/>
      <c r="GGO96"/>
      <c r="GGP96"/>
      <c r="GGQ96"/>
      <c r="GGR96"/>
      <c r="GGS96"/>
      <c r="GGT96"/>
      <c r="GGU96"/>
      <c r="GGV96"/>
      <c r="GGW96"/>
      <c r="GGX96"/>
      <c r="GGY96"/>
      <c r="GGZ96"/>
      <c r="GHA96"/>
      <c r="GHB96"/>
      <c r="GHC96"/>
      <c r="GHD96"/>
      <c r="GHE96"/>
      <c r="GHF96"/>
      <c r="GHG96"/>
      <c r="GHH96"/>
      <c r="GHI96"/>
      <c r="GHJ96"/>
      <c r="GHK96"/>
      <c r="GHL96"/>
      <c r="GHM96"/>
      <c r="GHN96"/>
      <c r="GHO96"/>
      <c r="GHP96"/>
      <c r="GHQ96"/>
      <c r="GHR96"/>
      <c r="GHS96"/>
      <c r="GHT96"/>
      <c r="GHU96"/>
      <c r="GHV96"/>
      <c r="GHW96"/>
      <c r="GHX96"/>
      <c r="GHY96"/>
      <c r="GHZ96"/>
      <c r="GIA96"/>
      <c r="GIB96"/>
      <c r="GIC96"/>
      <c r="GID96"/>
      <c r="GIE96"/>
      <c r="GIF96"/>
      <c r="GIG96"/>
      <c r="GIH96"/>
      <c r="GII96"/>
      <c r="GIJ96"/>
      <c r="GIK96"/>
      <c r="GIL96"/>
      <c r="GIM96"/>
      <c r="GIN96"/>
      <c r="GIO96"/>
      <c r="GIP96"/>
      <c r="GIQ96"/>
      <c r="GIR96"/>
      <c r="GIS96"/>
      <c r="GIT96"/>
      <c r="GIU96"/>
      <c r="GIV96"/>
      <c r="GIW96"/>
      <c r="GIX96"/>
      <c r="GIY96"/>
      <c r="GIZ96"/>
      <c r="GJA96"/>
      <c r="GJB96"/>
      <c r="GJC96"/>
      <c r="GJD96"/>
      <c r="GJE96"/>
      <c r="GJF96"/>
      <c r="GJG96"/>
      <c r="GJH96"/>
      <c r="GJI96"/>
      <c r="GJJ96"/>
      <c r="GJK96"/>
      <c r="GJL96"/>
      <c r="GJM96"/>
      <c r="GJN96"/>
      <c r="GJO96"/>
      <c r="GJP96"/>
      <c r="GJQ96"/>
      <c r="GJR96"/>
      <c r="GJS96"/>
      <c r="GJT96"/>
      <c r="GJU96"/>
      <c r="GJV96"/>
      <c r="GJW96"/>
      <c r="GJX96"/>
      <c r="GJY96"/>
      <c r="GJZ96"/>
      <c r="GKA96"/>
      <c r="GKB96"/>
      <c r="GKC96"/>
      <c r="GKD96"/>
      <c r="GKE96"/>
      <c r="GKF96"/>
      <c r="GKG96"/>
      <c r="GKH96"/>
      <c r="GKI96"/>
      <c r="GKJ96"/>
      <c r="GKK96"/>
      <c r="GKL96"/>
      <c r="GKM96"/>
      <c r="GKN96"/>
      <c r="GKO96"/>
      <c r="GKP96"/>
      <c r="GKQ96"/>
      <c r="GKR96"/>
      <c r="GKS96"/>
      <c r="GKT96"/>
      <c r="GKU96"/>
      <c r="GKV96"/>
      <c r="GKW96"/>
      <c r="GKX96"/>
      <c r="GKY96"/>
      <c r="GKZ96"/>
      <c r="GLA96"/>
      <c r="GLB96"/>
      <c r="GLC96"/>
      <c r="GLD96"/>
      <c r="GLE96"/>
      <c r="GLF96"/>
      <c r="GLG96"/>
      <c r="GLH96"/>
      <c r="GLI96"/>
      <c r="GLJ96"/>
      <c r="GLK96"/>
      <c r="GLL96"/>
      <c r="GLM96"/>
      <c r="GLN96"/>
      <c r="GLO96"/>
      <c r="GLP96"/>
      <c r="GLQ96"/>
      <c r="GLR96"/>
      <c r="GLS96"/>
      <c r="GLT96"/>
      <c r="GLU96"/>
      <c r="GLV96"/>
      <c r="GLW96"/>
      <c r="GLX96"/>
      <c r="GLY96"/>
      <c r="GLZ96"/>
      <c r="GMA96"/>
      <c r="GMB96"/>
      <c r="GMC96"/>
      <c r="GMD96"/>
      <c r="GME96"/>
      <c r="GMF96"/>
      <c r="GMG96"/>
      <c r="GMH96"/>
      <c r="GMI96"/>
      <c r="GMJ96"/>
      <c r="GMK96"/>
      <c r="GML96"/>
      <c r="GMM96"/>
      <c r="GMN96"/>
      <c r="GMO96"/>
      <c r="GMP96"/>
      <c r="GMQ96"/>
      <c r="GMR96"/>
      <c r="GMS96"/>
      <c r="GMT96"/>
      <c r="GMU96"/>
      <c r="GMV96"/>
      <c r="GMW96"/>
      <c r="GMX96"/>
      <c r="GMY96"/>
      <c r="GMZ96"/>
      <c r="GNA96"/>
      <c r="GNB96"/>
      <c r="GNC96"/>
      <c r="GND96"/>
      <c r="GNE96"/>
      <c r="GNF96"/>
      <c r="GNG96"/>
      <c r="GNH96"/>
      <c r="GNI96"/>
      <c r="GNJ96"/>
      <c r="GNK96"/>
      <c r="GNL96"/>
      <c r="GNM96"/>
      <c r="GNN96"/>
      <c r="GNO96"/>
      <c r="GNP96"/>
      <c r="GNQ96"/>
      <c r="GNR96"/>
      <c r="GNS96"/>
      <c r="GNT96"/>
      <c r="GNU96"/>
      <c r="GNV96"/>
      <c r="GNW96"/>
      <c r="GNX96"/>
      <c r="GNY96"/>
      <c r="GNZ96"/>
      <c r="GOA96"/>
      <c r="GOB96"/>
      <c r="GOC96"/>
      <c r="GOD96"/>
      <c r="GOE96"/>
      <c r="GOF96"/>
      <c r="GOG96"/>
      <c r="GOH96"/>
      <c r="GOI96"/>
      <c r="GOJ96"/>
      <c r="GOK96"/>
      <c r="GOL96"/>
      <c r="GOM96"/>
      <c r="GON96"/>
      <c r="GOO96"/>
      <c r="GOP96"/>
      <c r="GOQ96"/>
      <c r="GOR96"/>
      <c r="GOS96"/>
      <c r="GOT96"/>
      <c r="GOU96"/>
      <c r="GOV96"/>
      <c r="GOW96"/>
      <c r="GOX96"/>
      <c r="GOY96"/>
      <c r="GOZ96"/>
      <c r="GPA96"/>
      <c r="GPB96"/>
      <c r="GPC96"/>
      <c r="GPD96"/>
      <c r="GPE96"/>
      <c r="GPF96"/>
      <c r="GPG96"/>
      <c r="GPH96"/>
      <c r="GPI96"/>
      <c r="GPJ96"/>
      <c r="GPK96"/>
      <c r="GPL96"/>
      <c r="GPM96"/>
      <c r="GPN96"/>
      <c r="GPO96"/>
      <c r="GPP96"/>
      <c r="GPQ96"/>
      <c r="GPR96"/>
      <c r="GPS96"/>
      <c r="GPT96"/>
      <c r="GPU96"/>
      <c r="GPV96"/>
      <c r="GPW96"/>
      <c r="GPX96"/>
      <c r="GPY96"/>
      <c r="GPZ96"/>
      <c r="GQA96"/>
      <c r="GQB96"/>
      <c r="GQC96"/>
      <c r="GQD96"/>
      <c r="GQE96"/>
      <c r="GQF96"/>
      <c r="GQG96"/>
      <c r="GQH96"/>
      <c r="GQI96"/>
      <c r="GQJ96"/>
      <c r="GQK96"/>
      <c r="GQL96"/>
      <c r="GQM96"/>
      <c r="GQN96"/>
      <c r="GQO96"/>
      <c r="GQP96"/>
      <c r="GQQ96"/>
      <c r="GQR96"/>
      <c r="GQS96"/>
      <c r="GQT96"/>
      <c r="GQU96"/>
      <c r="GQV96"/>
      <c r="GQW96"/>
      <c r="GQX96"/>
      <c r="GQY96"/>
      <c r="GQZ96"/>
      <c r="GRA96"/>
      <c r="GRB96"/>
      <c r="GRC96"/>
      <c r="GRD96"/>
      <c r="GRE96"/>
      <c r="GRF96"/>
      <c r="GRG96"/>
      <c r="GRH96"/>
      <c r="GRI96"/>
      <c r="GRJ96"/>
      <c r="GRK96"/>
      <c r="GRL96"/>
      <c r="GRM96"/>
      <c r="GRN96"/>
      <c r="GRO96"/>
      <c r="GRP96"/>
      <c r="GRQ96"/>
      <c r="GRR96"/>
      <c r="GRS96"/>
      <c r="GRT96"/>
      <c r="GRU96"/>
      <c r="GRV96"/>
      <c r="GRW96"/>
      <c r="GRX96"/>
      <c r="GRY96"/>
      <c r="GRZ96"/>
      <c r="GSA96"/>
      <c r="GSB96"/>
      <c r="GSC96"/>
      <c r="GSD96"/>
      <c r="GSE96"/>
      <c r="GSF96"/>
      <c r="GSG96"/>
      <c r="GSH96"/>
      <c r="GSI96"/>
      <c r="GSJ96"/>
      <c r="GSK96"/>
      <c r="GSL96"/>
      <c r="GSM96"/>
      <c r="GSN96"/>
      <c r="GSO96"/>
      <c r="GSP96"/>
      <c r="GSQ96"/>
      <c r="GSR96"/>
      <c r="GSS96"/>
      <c r="GST96"/>
      <c r="GSU96"/>
      <c r="GSV96"/>
      <c r="GSW96"/>
      <c r="GSX96"/>
      <c r="GSY96"/>
      <c r="GSZ96"/>
      <c r="GTA96"/>
      <c r="GTB96"/>
      <c r="GTC96"/>
      <c r="GTD96"/>
      <c r="GTE96"/>
      <c r="GTF96"/>
      <c r="GTG96"/>
      <c r="GTH96"/>
      <c r="GTI96"/>
      <c r="GTJ96"/>
      <c r="GTK96"/>
      <c r="GTL96"/>
      <c r="GTM96"/>
      <c r="GTN96"/>
      <c r="GTO96"/>
      <c r="GTP96"/>
      <c r="GTQ96"/>
      <c r="GTR96"/>
      <c r="GTS96"/>
      <c r="GTT96"/>
      <c r="GTU96"/>
      <c r="GTV96"/>
      <c r="GTW96"/>
      <c r="GTX96"/>
      <c r="GTY96"/>
      <c r="GTZ96"/>
      <c r="GUA96"/>
      <c r="GUB96"/>
      <c r="GUC96"/>
      <c r="GUD96"/>
      <c r="GUE96"/>
      <c r="GUF96"/>
      <c r="GUG96"/>
      <c r="GUH96"/>
      <c r="GUI96"/>
      <c r="GUJ96"/>
      <c r="GUK96"/>
      <c r="GUL96"/>
      <c r="GUM96"/>
      <c r="GUN96"/>
      <c r="GUO96"/>
      <c r="GUP96"/>
      <c r="GUQ96"/>
      <c r="GUR96"/>
      <c r="GUS96"/>
      <c r="GUT96"/>
      <c r="GUU96"/>
      <c r="GUV96"/>
      <c r="GUW96"/>
      <c r="GUX96"/>
      <c r="GUY96"/>
      <c r="GUZ96"/>
      <c r="GVA96"/>
      <c r="GVB96"/>
      <c r="GVC96"/>
      <c r="GVD96"/>
      <c r="GVE96"/>
      <c r="GVF96"/>
      <c r="GVG96"/>
      <c r="GVH96"/>
      <c r="GVI96"/>
      <c r="GVJ96"/>
      <c r="GVK96"/>
      <c r="GVL96"/>
      <c r="GVM96"/>
      <c r="GVN96"/>
      <c r="GVO96"/>
      <c r="GVP96"/>
      <c r="GVQ96"/>
      <c r="GVR96"/>
      <c r="GVS96"/>
      <c r="GVT96"/>
      <c r="GVU96"/>
      <c r="GVV96"/>
      <c r="GVW96"/>
      <c r="GVX96"/>
      <c r="GVY96"/>
      <c r="GVZ96"/>
      <c r="GWA96"/>
      <c r="GWB96"/>
      <c r="GWC96"/>
      <c r="GWD96"/>
      <c r="GWE96"/>
      <c r="GWF96"/>
      <c r="GWG96"/>
      <c r="GWH96"/>
      <c r="GWI96"/>
      <c r="GWJ96"/>
      <c r="GWK96"/>
      <c r="GWL96"/>
      <c r="GWM96"/>
      <c r="GWN96"/>
      <c r="GWO96"/>
      <c r="GWP96"/>
      <c r="GWQ96"/>
      <c r="GWR96"/>
      <c r="GWS96"/>
      <c r="GWT96"/>
      <c r="GWU96"/>
      <c r="GWV96"/>
      <c r="GWW96"/>
      <c r="GWX96"/>
      <c r="GWY96"/>
      <c r="GWZ96"/>
      <c r="GXA96"/>
      <c r="GXB96"/>
      <c r="GXC96"/>
      <c r="GXD96"/>
      <c r="GXE96"/>
      <c r="GXF96"/>
      <c r="GXG96"/>
      <c r="GXH96"/>
      <c r="GXI96"/>
      <c r="GXJ96"/>
      <c r="GXK96"/>
      <c r="GXL96"/>
      <c r="GXM96"/>
      <c r="GXN96"/>
      <c r="GXO96"/>
      <c r="GXP96"/>
      <c r="GXQ96"/>
      <c r="GXR96"/>
      <c r="GXS96"/>
      <c r="GXT96"/>
      <c r="GXU96"/>
      <c r="GXV96"/>
      <c r="GXW96"/>
      <c r="GXX96"/>
      <c r="GXY96"/>
      <c r="GXZ96"/>
      <c r="GYA96"/>
      <c r="GYB96"/>
      <c r="GYC96"/>
      <c r="GYD96"/>
      <c r="GYE96"/>
      <c r="GYF96"/>
      <c r="GYG96"/>
      <c r="GYH96"/>
      <c r="GYI96"/>
      <c r="GYJ96"/>
      <c r="GYK96"/>
      <c r="GYL96"/>
      <c r="GYM96"/>
      <c r="GYN96"/>
      <c r="GYO96"/>
      <c r="GYP96"/>
      <c r="GYQ96"/>
      <c r="GYR96"/>
      <c r="GYS96"/>
      <c r="GYT96"/>
      <c r="GYU96"/>
      <c r="GYV96"/>
      <c r="GYW96"/>
      <c r="GYX96"/>
      <c r="GYY96"/>
      <c r="GYZ96"/>
      <c r="GZA96"/>
      <c r="GZB96"/>
      <c r="GZC96"/>
      <c r="GZD96"/>
      <c r="GZE96"/>
      <c r="GZF96"/>
      <c r="GZG96"/>
      <c r="GZH96"/>
      <c r="GZI96"/>
      <c r="GZJ96"/>
      <c r="GZK96"/>
      <c r="GZL96"/>
      <c r="GZM96"/>
      <c r="GZN96"/>
      <c r="GZO96"/>
      <c r="GZP96"/>
      <c r="GZQ96"/>
      <c r="GZR96"/>
      <c r="GZS96"/>
      <c r="GZT96"/>
      <c r="GZU96"/>
      <c r="GZV96"/>
      <c r="GZW96"/>
      <c r="GZX96"/>
      <c r="GZY96"/>
      <c r="GZZ96"/>
      <c r="HAA96"/>
      <c r="HAB96"/>
      <c r="HAC96"/>
      <c r="HAD96"/>
      <c r="HAE96"/>
      <c r="HAF96"/>
      <c r="HAG96"/>
      <c r="HAH96"/>
      <c r="HAI96"/>
      <c r="HAJ96"/>
      <c r="HAK96"/>
      <c r="HAL96"/>
      <c r="HAM96"/>
      <c r="HAN96"/>
      <c r="HAO96"/>
      <c r="HAP96"/>
      <c r="HAQ96"/>
      <c r="HAR96"/>
      <c r="HAS96"/>
      <c r="HAT96"/>
      <c r="HAU96"/>
      <c r="HAV96"/>
      <c r="HAW96"/>
      <c r="HAX96"/>
      <c r="HAY96"/>
      <c r="HAZ96"/>
      <c r="HBA96"/>
      <c r="HBB96"/>
      <c r="HBC96"/>
      <c r="HBD96"/>
      <c r="HBE96"/>
      <c r="HBF96"/>
      <c r="HBG96"/>
      <c r="HBH96"/>
      <c r="HBI96"/>
      <c r="HBJ96"/>
      <c r="HBK96"/>
      <c r="HBL96"/>
      <c r="HBM96"/>
      <c r="HBN96"/>
      <c r="HBO96"/>
      <c r="HBP96"/>
      <c r="HBQ96"/>
      <c r="HBR96"/>
      <c r="HBS96"/>
      <c r="HBT96"/>
      <c r="HBU96"/>
      <c r="HBV96"/>
      <c r="HBW96"/>
      <c r="HBX96"/>
      <c r="HBY96"/>
      <c r="HBZ96"/>
      <c r="HCA96"/>
      <c r="HCB96"/>
      <c r="HCC96"/>
      <c r="HCD96"/>
      <c r="HCE96"/>
      <c r="HCF96"/>
      <c r="HCG96"/>
      <c r="HCH96"/>
      <c r="HCI96"/>
      <c r="HCJ96"/>
      <c r="HCK96"/>
      <c r="HCL96"/>
      <c r="HCM96"/>
      <c r="HCN96"/>
      <c r="HCO96"/>
      <c r="HCP96"/>
      <c r="HCQ96"/>
      <c r="HCR96"/>
      <c r="HCS96"/>
      <c r="HCT96"/>
      <c r="HCU96"/>
      <c r="HCV96"/>
      <c r="HCW96"/>
      <c r="HCX96"/>
      <c r="HCY96"/>
      <c r="HCZ96"/>
      <c r="HDA96"/>
      <c r="HDB96"/>
      <c r="HDC96"/>
      <c r="HDD96"/>
      <c r="HDE96"/>
      <c r="HDF96"/>
      <c r="HDG96"/>
      <c r="HDH96"/>
      <c r="HDI96"/>
      <c r="HDJ96"/>
      <c r="HDK96"/>
      <c r="HDL96"/>
      <c r="HDM96"/>
      <c r="HDN96"/>
      <c r="HDO96"/>
      <c r="HDP96"/>
      <c r="HDQ96"/>
      <c r="HDR96"/>
      <c r="HDS96"/>
      <c r="HDT96"/>
      <c r="HDU96"/>
      <c r="HDV96"/>
      <c r="HDW96"/>
      <c r="HDX96"/>
      <c r="HDY96"/>
      <c r="HDZ96"/>
      <c r="HEA96"/>
      <c r="HEB96"/>
      <c r="HEC96"/>
      <c r="HED96"/>
      <c r="HEE96"/>
      <c r="HEF96"/>
      <c r="HEG96"/>
      <c r="HEH96"/>
      <c r="HEI96"/>
      <c r="HEJ96"/>
      <c r="HEK96"/>
      <c r="HEL96"/>
      <c r="HEM96"/>
      <c r="HEN96"/>
      <c r="HEO96"/>
      <c r="HEP96"/>
      <c r="HEQ96"/>
      <c r="HER96"/>
      <c r="HES96"/>
      <c r="HET96"/>
      <c r="HEU96"/>
      <c r="HEV96"/>
      <c r="HEW96"/>
      <c r="HEX96"/>
      <c r="HEY96"/>
      <c r="HEZ96"/>
      <c r="HFA96"/>
      <c r="HFB96"/>
      <c r="HFC96"/>
      <c r="HFD96"/>
      <c r="HFE96"/>
      <c r="HFF96"/>
      <c r="HFG96"/>
      <c r="HFH96"/>
      <c r="HFI96"/>
      <c r="HFJ96"/>
      <c r="HFK96"/>
      <c r="HFL96"/>
      <c r="HFM96"/>
      <c r="HFN96"/>
      <c r="HFO96"/>
      <c r="HFP96"/>
      <c r="HFQ96"/>
      <c r="HFR96"/>
      <c r="HFS96"/>
      <c r="HFT96"/>
      <c r="HFU96"/>
      <c r="HFV96"/>
      <c r="HFW96"/>
      <c r="HFX96"/>
      <c r="HFY96"/>
      <c r="HFZ96"/>
      <c r="HGA96"/>
      <c r="HGB96"/>
      <c r="HGC96"/>
      <c r="HGD96"/>
      <c r="HGE96"/>
      <c r="HGF96"/>
      <c r="HGG96"/>
      <c r="HGH96"/>
      <c r="HGI96"/>
      <c r="HGJ96"/>
      <c r="HGK96"/>
      <c r="HGL96"/>
      <c r="HGM96"/>
      <c r="HGN96"/>
      <c r="HGO96"/>
      <c r="HGP96"/>
      <c r="HGQ96"/>
      <c r="HGR96"/>
      <c r="HGS96"/>
      <c r="HGT96"/>
      <c r="HGU96"/>
      <c r="HGV96"/>
      <c r="HGW96"/>
      <c r="HGX96"/>
      <c r="HGY96"/>
      <c r="HGZ96"/>
      <c r="HHA96"/>
      <c r="HHB96"/>
      <c r="HHC96"/>
      <c r="HHD96"/>
      <c r="HHE96"/>
      <c r="HHF96"/>
      <c r="HHG96"/>
      <c r="HHH96"/>
      <c r="HHI96"/>
      <c r="HHJ96"/>
      <c r="HHK96"/>
      <c r="HHL96"/>
      <c r="HHM96"/>
      <c r="HHN96"/>
      <c r="HHO96"/>
      <c r="HHP96"/>
      <c r="HHQ96"/>
      <c r="HHR96"/>
      <c r="HHS96"/>
      <c r="HHT96"/>
      <c r="HHU96"/>
      <c r="HHV96"/>
      <c r="HHW96"/>
      <c r="HHX96"/>
      <c r="HHY96"/>
      <c r="HHZ96"/>
      <c r="HIA96"/>
      <c r="HIB96"/>
      <c r="HIC96"/>
      <c r="HID96"/>
      <c r="HIE96"/>
      <c r="HIF96"/>
      <c r="HIG96"/>
      <c r="HIH96"/>
      <c r="HII96"/>
      <c r="HIJ96"/>
      <c r="HIK96"/>
      <c r="HIL96"/>
      <c r="HIM96"/>
      <c r="HIN96"/>
      <c r="HIO96"/>
      <c r="HIP96"/>
      <c r="HIQ96"/>
      <c r="HIR96"/>
      <c r="HIS96"/>
      <c r="HIT96"/>
      <c r="HIU96"/>
      <c r="HIV96"/>
      <c r="HIW96"/>
      <c r="HIX96"/>
      <c r="HIY96"/>
      <c r="HIZ96"/>
      <c r="HJA96"/>
      <c r="HJB96"/>
      <c r="HJC96"/>
      <c r="HJD96"/>
      <c r="HJE96"/>
      <c r="HJF96"/>
      <c r="HJG96"/>
      <c r="HJH96"/>
      <c r="HJI96"/>
      <c r="HJJ96"/>
      <c r="HJK96"/>
      <c r="HJL96"/>
      <c r="HJM96"/>
      <c r="HJN96"/>
      <c r="HJO96"/>
      <c r="HJP96"/>
      <c r="HJQ96"/>
      <c r="HJR96"/>
      <c r="HJS96"/>
      <c r="HJT96"/>
      <c r="HJU96"/>
      <c r="HJV96"/>
      <c r="HJW96"/>
      <c r="HJX96"/>
      <c r="HJY96"/>
      <c r="HJZ96"/>
      <c r="HKA96"/>
      <c r="HKB96"/>
      <c r="HKC96"/>
      <c r="HKD96"/>
      <c r="HKE96"/>
      <c r="HKF96"/>
      <c r="HKG96"/>
      <c r="HKH96"/>
      <c r="HKI96"/>
      <c r="HKJ96"/>
      <c r="HKK96"/>
      <c r="HKL96"/>
      <c r="HKM96"/>
      <c r="HKN96"/>
      <c r="HKO96"/>
      <c r="HKP96"/>
      <c r="HKQ96"/>
      <c r="HKR96"/>
      <c r="HKS96"/>
      <c r="HKT96"/>
      <c r="HKU96"/>
      <c r="HKV96"/>
      <c r="HKW96"/>
      <c r="HKX96"/>
      <c r="HKY96"/>
      <c r="HKZ96"/>
      <c r="HLA96"/>
      <c r="HLB96"/>
      <c r="HLC96"/>
      <c r="HLD96"/>
      <c r="HLE96"/>
      <c r="HLF96"/>
      <c r="HLG96"/>
      <c r="HLH96"/>
      <c r="HLI96"/>
      <c r="HLJ96"/>
      <c r="HLK96"/>
      <c r="HLL96"/>
      <c r="HLM96"/>
      <c r="HLN96"/>
      <c r="HLO96"/>
      <c r="HLP96"/>
      <c r="HLQ96"/>
      <c r="HLR96"/>
      <c r="HLS96"/>
      <c r="HLT96"/>
      <c r="HLU96"/>
      <c r="HLV96"/>
      <c r="HLW96"/>
      <c r="HLX96"/>
      <c r="HLY96"/>
      <c r="HLZ96"/>
      <c r="HMA96"/>
      <c r="HMB96"/>
      <c r="HMC96"/>
      <c r="HMD96"/>
      <c r="HME96"/>
      <c r="HMF96"/>
      <c r="HMG96"/>
      <c r="HMH96"/>
      <c r="HMI96"/>
      <c r="HMJ96"/>
      <c r="HMK96"/>
      <c r="HML96"/>
      <c r="HMM96"/>
      <c r="HMN96"/>
      <c r="HMO96"/>
      <c r="HMP96"/>
      <c r="HMQ96"/>
      <c r="HMR96"/>
      <c r="HMS96"/>
      <c r="HMT96"/>
      <c r="HMU96"/>
      <c r="HMV96"/>
      <c r="HMW96"/>
      <c r="HMX96"/>
      <c r="HMY96"/>
      <c r="HMZ96"/>
      <c r="HNA96"/>
      <c r="HNB96"/>
      <c r="HNC96"/>
      <c r="HND96"/>
      <c r="HNE96"/>
      <c r="HNF96"/>
      <c r="HNG96"/>
      <c r="HNH96"/>
      <c r="HNI96"/>
      <c r="HNJ96"/>
      <c r="HNK96"/>
      <c r="HNL96"/>
      <c r="HNM96"/>
      <c r="HNN96"/>
      <c r="HNO96"/>
      <c r="HNP96"/>
      <c r="HNQ96"/>
      <c r="HNR96"/>
      <c r="HNS96"/>
      <c r="HNT96"/>
      <c r="HNU96"/>
      <c r="HNV96"/>
      <c r="HNW96"/>
      <c r="HNX96"/>
      <c r="HNY96"/>
      <c r="HNZ96"/>
      <c r="HOA96"/>
      <c r="HOB96"/>
      <c r="HOC96"/>
      <c r="HOD96"/>
      <c r="HOE96"/>
      <c r="HOF96"/>
      <c r="HOG96"/>
      <c r="HOH96"/>
      <c r="HOI96"/>
      <c r="HOJ96"/>
      <c r="HOK96"/>
      <c r="HOL96"/>
      <c r="HOM96"/>
      <c r="HON96"/>
      <c r="HOO96"/>
      <c r="HOP96"/>
      <c r="HOQ96"/>
      <c r="HOR96"/>
      <c r="HOS96"/>
      <c r="HOT96"/>
      <c r="HOU96"/>
      <c r="HOV96"/>
      <c r="HOW96"/>
      <c r="HOX96"/>
      <c r="HOY96"/>
      <c r="HOZ96"/>
      <c r="HPA96"/>
      <c r="HPB96"/>
      <c r="HPC96"/>
      <c r="HPD96"/>
      <c r="HPE96"/>
      <c r="HPF96"/>
      <c r="HPG96"/>
      <c r="HPH96"/>
      <c r="HPI96"/>
      <c r="HPJ96"/>
      <c r="HPK96"/>
      <c r="HPL96"/>
      <c r="HPM96"/>
      <c r="HPN96"/>
      <c r="HPO96"/>
      <c r="HPP96"/>
      <c r="HPQ96"/>
      <c r="HPR96"/>
      <c r="HPS96"/>
      <c r="HPT96"/>
      <c r="HPU96"/>
      <c r="HPV96"/>
      <c r="HPW96"/>
      <c r="HPX96"/>
      <c r="HPY96"/>
      <c r="HPZ96"/>
      <c r="HQA96"/>
      <c r="HQB96"/>
      <c r="HQC96"/>
      <c r="HQD96"/>
      <c r="HQE96"/>
      <c r="HQF96"/>
      <c r="HQG96"/>
      <c r="HQH96"/>
      <c r="HQI96"/>
      <c r="HQJ96"/>
      <c r="HQK96"/>
      <c r="HQL96"/>
      <c r="HQM96"/>
      <c r="HQN96"/>
      <c r="HQO96"/>
      <c r="HQP96"/>
      <c r="HQQ96"/>
      <c r="HQR96"/>
      <c r="HQS96"/>
      <c r="HQT96"/>
      <c r="HQU96"/>
      <c r="HQV96"/>
      <c r="HQW96"/>
      <c r="HQX96"/>
      <c r="HQY96"/>
      <c r="HQZ96"/>
      <c r="HRA96"/>
      <c r="HRB96"/>
      <c r="HRC96"/>
      <c r="HRD96"/>
      <c r="HRE96"/>
      <c r="HRF96"/>
      <c r="HRG96"/>
      <c r="HRH96"/>
      <c r="HRI96"/>
      <c r="HRJ96"/>
      <c r="HRK96"/>
      <c r="HRL96"/>
      <c r="HRM96"/>
      <c r="HRN96"/>
      <c r="HRO96"/>
      <c r="HRP96"/>
      <c r="HRQ96"/>
      <c r="HRR96"/>
      <c r="HRS96"/>
      <c r="HRT96"/>
      <c r="HRU96"/>
      <c r="HRV96"/>
      <c r="HRW96"/>
      <c r="HRX96"/>
      <c r="HRY96"/>
      <c r="HRZ96"/>
      <c r="HSA96"/>
      <c r="HSB96"/>
      <c r="HSC96"/>
      <c r="HSD96"/>
      <c r="HSE96"/>
      <c r="HSF96"/>
      <c r="HSG96"/>
      <c r="HSH96"/>
      <c r="HSI96"/>
      <c r="HSJ96"/>
      <c r="HSK96"/>
      <c r="HSL96"/>
      <c r="HSM96"/>
      <c r="HSN96"/>
      <c r="HSO96"/>
      <c r="HSP96"/>
      <c r="HSQ96"/>
      <c r="HSR96"/>
      <c r="HSS96"/>
      <c r="HST96"/>
      <c r="HSU96"/>
      <c r="HSV96"/>
      <c r="HSW96"/>
      <c r="HSX96"/>
      <c r="HSY96"/>
      <c r="HSZ96"/>
      <c r="HTA96"/>
      <c r="HTB96"/>
      <c r="HTC96"/>
      <c r="HTD96"/>
      <c r="HTE96"/>
      <c r="HTF96"/>
      <c r="HTG96"/>
      <c r="HTH96"/>
      <c r="HTI96"/>
      <c r="HTJ96"/>
      <c r="HTK96"/>
      <c r="HTL96"/>
      <c r="HTM96"/>
      <c r="HTN96"/>
      <c r="HTO96"/>
      <c r="HTP96"/>
      <c r="HTQ96"/>
      <c r="HTR96"/>
      <c r="HTS96"/>
      <c r="HTT96"/>
      <c r="HTU96"/>
      <c r="HTV96"/>
      <c r="HTW96"/>
      <c r="HTX96"/>
      <c r="HTY96"/>
      <c r="HTZ96"/>
      <c r="HUA96"/>
      <c r="HUB96"/>
      <c r="HUC96"/>
      <c r="HUD96"/>
      <c r="HUE96"/>
      <c r="HUF96"/>
      <c r="HUG96"/>
      <c r="HUH96"/>
      <c r="HUI96"/>
      <c r="HUJ96"/>
      <c r="HUK96"/>
      <c r="HUL96"/>
      <c r="HUM96"/>
      <c r="HUN96"/>
      <c r="HUO96"/>
      <c r="HUP96"/>
      <c r="HUQ96"/>
      <c r="HUR96"/>
      <c r="HUS96"/>
      <c r="HUT96"/>
      <c r="HUU96"/>
      <c r="HUV96"/>
      <c r="HUW96"/>
      <c r="HUX96"/>
      <c r="HUY96"/>
      <c r="HUZ96"/>
      <c r="HVA96"/>
      <c r="HVB96"/>
      <c r="HVC96"/>
      <c r="HVD96"/>
      <c r="HVE96"/>
      <c r="HVF96"/>
      <c r="HVG96"/>
      <c r="HVH96"/>
      <c r="HVI96"/>
      <c r="HVJ96"/>
      <c r="HVK96"/>
      <c r="HVL96"/>
      <c r="HVM96"/>
      <c r="HVN96"/>
      <c r="HVO96"/>
      <c r="HVP96"/>
      <c r="HVQ96"/>
      <c r="HVR96"/>
      <c r="HVS96"/>
      <c r="HVT96"/>
      <c r="HVU96"/>
      <c r="HVV96"/>
      <c r="HVW96"/>
      <c r="HVX96"/>
      <c r="HVY96"/>
      <c r="HVZ96"/>
      <c r="HWA96"/>
      <c r="HWB96"/>
      <c r="HWC96"/>
      <c r="HWD96"/>
      <c r="HWE96"/>
      <c r="HWF96"/>
      <c r="HWG96"/>
      <c r="HWH96"/>
      <c r="HWI96"/>
      <c r="HWJ96"/>
      <c r="HWK96"/>
      <c r="HWL96"/>
      <c r="HWM96"/>
      <c r="HWN96"/>
      <c r="HWO96"/>
      <c r="HWP96"/>
      <c r="HWQ96"/>
      <c r="HWR96"/>
      <c r="HWS96"/>
      <c r="HWT96"/>
      <c r="HWU96"/>
      <c r="HWV96"/>
      <c r="HWW96"/>
      <c r="HWX96"/>
      <c r="HWY96"/>
      <c r="HWZ96"/>
      <c r="HXA96"/>
      <c r="HXB96"/>
      <c r="HXC96"/>
      <c r="HXD96"/>
      <c r="HXE96"/>
      <c r="HXF96"/>
      <c r="HXG96"/>
      <c r="HXH96"/>
      <c r="HXI96"/>
      <c r="HXJ96"/>
      <c r="HXK96"/>
      <c r="HXL96"/>
      <c r="HXM96"/>
      <c r="HXN96"/>
      <c r="HXO96"/>
      <c r="HXP96"/>
      <c r="HXQ96"/>
      <c r="HXR96"/>
      <c r="HXS96"/>
      <c r="HXT96"/>
      <c r="HXU96"/>
      <c r="HXV96"/>
      <c r="HXW96"/>
      <c r="HXX96"/>
      <c r="HXY96"/>
      <c r="HXZ96"/>
      <c r="HYA96"/>
      <c r="HYB96"/>
      <c r="HYC96"/>
      <c r="HYD96"/>
      <c r="HYE96"/>
      <c r="HYF96"/>
      <c r="HYG96"/>
      <c r="HYH96"/>
      <c r="HYI96"/>
      <c r="HYJ96"/>
      <c r="HYK96"/>
      <c r="HYL96"/>
      <c r="HYM96"/>
      <c r="HYN96"/>
      <c r="HYO96"/>
      <c r="HYP96"/>
      <c r="HYQ96"/>
      <c r="HYR96"/>
      <c r="HYS96"/>
      <c r="HYT96"/>
      <c r="HYU96"/>
      <c r="HYV96"/>
      <c r="HYW96"/>
      <c r="HYX96"/>
      <c r="HYY96"/>
      <c r="HYZ96"/>
      <c r="HZA96"/>
      <c r="HZB96"/>
      <c r="HZC96"/>
      <c r="HZD96"/>
      <c r="HZE96"/>
      <c r="HZF96"/>
      <c r="HZG96"/>
      <c r="HZH96"/>
      <c r="HZI96"/>
      <c r="HZJ96"/>
      <c r="HZK96"/>
      <c r="HZL96"/>
      <c r="HZM96"/>
      <c r="HZN96"/>
      <c r="HZO96"/>
      <c r="HZP96"/>
      <c r="HZQ96"/>
      <c r="HZR96"/>
      <c r="HZS96"/>
      <c r="HZT96"/>
      <c r="HZU96"/>
      <c r="HZV96"/>
      <c r="HZW96"/>
      <c r="HZX96"/>
      <c r="HZY96"/>
      <c r="HZZ96"/>
      <c r="IAA96"/>
      <c r="IAB96"/>
      <c r="IAC96"/>
      <c r="IAD96"/>
      <c r="IAE96"/>
      <c r="IAF96"/>
      <c r="IAG96"/>
      <c r="IAH96"/>
      <c r="IAI96"/>
      <c r="IAJ96"/>
      <c r="IAK96"/>
      <c r="IAL96"/>
      <c r="IAM96"/>
      <c r="IAN96"/>
      <c r="IAO96"/>
      <c r="IAP96"/>
      <c r="IAQ96"/>
      <c r="IAR96"/>
      <c r="IAS96"/>
      <c r="IAT96"/>
      <c r="IAU96"/>
      <c r="IAV96"/>
      <c r="IAW96"/>
      <c r="IAX96"/>
      <c r="IAY96"/>
      <c r="IAZ96"/>
      <c r="IBA96"/>
      <c r="IBB96"/>
      <c r="IBC96"/>
      <c r="IBD96"/>
      <c r="IBE96"/>
      <c r="IBF96"/>
      <c r="IBG96"/>
      <c r="IBH96"/>
      <c r="IBI96"/>
      <c r="IBJ96"/>
      <c r="IBK96"/>
      <c r="IBL96"/>
      <c r="IBM96"/>
      <c r="IBN96"/>
      <c r="IBO96"/>
      <c r="IBP96"/>
      <c r="IBQ96"/>
      <c r="IBR96"/>
      <c r="IBS96"/>
      <c r="IBT96"/>
      <c r="IBU96"/>
      <c r="IBV96"/>
      <c r="IBW96"/>
      <c r="IBX96"/>
      <c r="IBY96"/>
      <c r="IBZ96"/>
      <c r="ICA96"/>
      <c r="ICB96"/>
      <c r="ICC96"/>
      <c r="ICD96"/>
      <c r="ICE96"/>
      <c r="ICF96"/>
      <c r="ICG96"/>
      <c r="ICH96"/>
      <c r="ICI96"/>
      <c r="ICJ96"/>
      <c r="ICK96"/>
      <c r="ICL96"/>
      <c r="ICM96"/>
      <c r="ICN96"/>
      <c r="ICO96"/>
      <c r="ICP96"/>
      <c r="ICQ96"/>
      <c r="ICR96"/>
      <c r="ICS96"/>
      <c r="ICT96"/>
      <c r="ICU96"/>
      <c r="ICV96"/>
      <c r="ICW96"/>
      <c r="ICX96"/>
      <c r="ICY96"/>
      <c r="ICZ96"/>
      <c r="IDA96"/>
      <c r="IDB96"/>
      <c r="IDC96"/>
      <c r="IDD96"/>
      <c r="IDE96"/>
      <c r="IDF96"/>
      <c r="IDG96"/>
      <c r="IDH96"/>
      <c r="IDI96"/>
      <c r="IDJ96"/>
      <c r="IDK96"/>
      <c r="IDL96"/>
      <c r="IDM96"/>
      <c r="IDN96"/>
      <c r="IDO96"/>
      <c r="IDP96"/>
      <c r="IDQ96"/>
      <c r="IDR96"/>
      <c r="IDS96"/>
      <c r="IDT96"/>
      <c r="IDU96"/>
      <c r="IDV96"/>
      <c r="IDW96"/>
      <c r="IDX96"/>
      <c r="IDY96"/>
      <c r="IDZ96"/>
      <c r="IEA96"/>
      <c r="IEB96"/>
      <c r="IEC96"/>
      <c r="IED96"/>
      <c r="IEE96"/>
      <c r="IEF96"/>
      <c r="IEG96"/>
      <c r="IEH96"/>
      <c r="IEI96"/>
      <c r="IEJ96"/>
      <c r="IEK96"/>
      <c r="IEL96"/>
      <c r="IEM96"/>
      <c r="IEN96"/>
      <c r="IEO96"/>
      <c r="IEP96"/>
      <c r="IEQ96"/>
      <c r="IER96"/>
      <c r="IES96"/>
      <c r="IET96"/>
      <c r="IEU96"/>
      <c r="IEV96"/>
      <c r="IEW96"/>
      <c r="IEX96"/>
      <c r="IEY96"/>
      <c r="IEZ96"/>
      <c r="IFA96"/>
      <c r="IFB96"/>
      <c r="IFC96"/>
      <c r="IFD96"/>
      <c r="IFE96"/>
      <c r="IFF96"/>
      <c r="IFG96"/>
      <c r="IFH96"/>
      <c r="IFI96"/>
      <c r="IFJ96"/>
      <c r="IFK96"/>
      <c r="IFL96"/>
      <c r="IFM96"/>
      <c r="IFN96"/>
      <c r="IFO96"/>
      <c r="IFP96"/>
      <c r="IFQ96"/>
      <c r="IFR96"/>
      <c r="IFS96"/>
      <c r="IFT96"/>
      <c r="IFU96"/>
      <c r="IFV96"/>
      <c r="IFW96"/>
      <c r="IFX96"/>
      <c r="IFY96"/>
      <c r="IFZ96"/>
      <c r="IGA96"/>
      <c r="IGB96"/>
      <c r="IGC96"/>
      <c r="IGD96"/>
      <c r="IGE96"/>
      <c r="IGF96"/>
      <c r="IGG96"/>
      <c r="IGH96"/>
      <c r="IGI96"/>
      <c r="IGJ96"/>
      <c r="IGK96"/>
      <c r="IGL96"/>
      <c r="IGM96"/>
      <c r="IGN96"/>
      <c r="IGO96"/>
      <c r="IGP96"/>
      <c r="IGQ96"/>
      <c r="IGR96"/>
      <c r="IGS96"/>
      <c r="IGT96"/>
      <c r="IGU96"/>
      <c r="IGV96"/>
      <c r="IGW96"/>
      <c r="IGX96"/>
      <c r="IGY96"/>
      <c r="IGZ96"/>
      <c r="IHA96"/>
      <c r="IHB96"/>
      <c r="IHC96"/>
      <c r="IHD96"/>
      <c r="IHE96"/>
      <c r="IHF96"/>
      <c r="IHG96"/>
      <c r="IHH96"/>
      <c r="IHI96"/>
      <c r="IHJ96"/>
      <c r="IHK96"/>
      <c r="IHL96"/>
      <c r="IHM96"/>
      <c r="IHN96"/>
      <c r="IHO96"/>
      <c r="IHP96"/>
      <c r="IHQ96"/>
      <c r="IHR96"/>
      <c r="IHS96"/>
      <c r="IHT96"/>
      <c r="IHU96"/>
      <c r="IHV96"/>
      <c r="IHW96"/>
      <c r="IHX96"/>
      <c r="IHY96"/>
      <c r="IHZ96"/>
      <c r="IIA96"/>
      <c r="IIB96"/>
      <c r="IIC96"/>
      <c r="IID96"/>
      <c r="IIE96"/>
      <c r="IIF96"/>
      <c r="IIG96"/>
      <c r="IIH96"/>
      <c r="III96"/>
      <c r="IIJ96"/>
      <c r="IIK96"/>
      <c r="IIL96"/>
      <c r="IIM96"/>
      <c r="IIN96"/>
      <c r="IIO96"/>
      <c r="IIP96"/>
      <c r="IIQ96"/>
      <c r="IIR96"/>
      <c r="IIS96"/>
      <c r="IIT96"/>
      <c r="IIU96"/>
      <c r="IIV96"/>
      <c r="IIW96"/>
      <c r="IIX96"/>
      <c r="IIY96"/>
      <c r="IIZ96"/>
      <c r="IJA96"/>
      <c r="IJB96"/>
      <c r="IJC96"/>
      <c r="IJD96"/>
      <c r="IJE96"/>
      <c r="IJF96"/>
      <c r="IJG96"/>
      <c r="IJH96"/>
      <c r="IJI96"/>
      <c r="IJJ96"/>
      <c r="IJK96"/>
      <c r="IJL96"/>
      <c r="IJM96"/>
      <c r="IJN96"/>
      <c r="IJO96"/>
      <c r="IJP96"/>
      <c r="IJQ96"/>
      <c r="IJR96"/>
      <c r="IJS96"/>
      <c r="IJT96"/>
      <c r="IJU96"/>
      <c r="IJV96"/>
      <c r="IJW96"/>
      <c r="IJX96"/>
      <c r="IJY96"/>
      <c r="IJZ96"/>
      <c r="IKA96"/>
      <c r="IKB96"/>
      <c r="IKC96"/>
      <c r="IKD96"/>
      <c r="IKE96"/>
      <c r="IKF96"/>
      <c r="IKG96"/>
      <c r="IKH96"/>
      <c r="IKI96"/>
      <c r="IKJ96"/>
      <c r="IKK96"/>
      <c r="IKL96"/>
      <c r="IKM96"/>
      <c r="IKN96"/>
      <c r="IKO96"/>
      <c r="IKP96"/>
      <c r="IKQ96"/>
      <c r="IKR96"/>
      <c r="IKS96"/>
      <c r="IKT96"/>
      <c r="IKU96"/>
      <c r="IKV96"/>
      <c r="IKW96"/>
      <c r="IKX96"/>
      <c r="IKY96"/>
      <c r="IKZ96"/>
      <c r="ILA96"/>
      <c r="ILB96"/>
      <c r="ILC96"/>
      <c r="ILD96"/>
      <c r="ILE96"/>
      <c r="ILF96"/>
      <c r="ILG96"/>
      <c r="ILH96"/>
      <c r="ILI96"/>
      <c r="ILJ96"/>
      <c r="ILK96"/>
      <c r="ILL96"/>
      <c r="ILM96"/>
      <c r="ILN96"/>
      <c r="ILO96"/>
      <c r="ILP96"/>
      <c r="ILQ96"/>
      <c r="ILR96"/>
      <c r="ILS96"/>
      <c r="ILT96"/>
      <c r="ILU96"/>
      <c r="ILV96"/>
      <c r="ILW96"/>
      <c r="ILX96"/>
      <c r="ILY96"/>
      <c r="ILZ96"/>
      <c r="IMA96"/>
      <c r="IMB96"/>
      <c r="IMC96"/>
      <c r="IMD96"/>
      <c r="IME96"/>
      <c r="IMF96"/>
      <c r="IMG96"/>
      <c r="IMH96"/>
      <c r="IMI96"/>
      <c r="IMJ96"/>
      <c r="IMK96"/>
      <c r="IML96"/>
      <c r="IMM96"/>
      <c r="IMN96"/>
      <c r="IMO96"/>
      <c r="IMP96"/>
      <c r="IMQ96"/>
      <c r="IMR96"/>
      <c r="IMS96"/>
      <c r="IMT96"/>
      <c r="IMU96"/>
      <c r="IMV96"/>
      <c r="IMW96"/>
      <c r="IMX96"/>
      <c r="IMY96"/>
      <c r="IMZ96"/>
      <c r="INA96"/>
      <c r="INB96"/>
      <c r="INC96"/>
      <c r="IND96"/>
      <c r="INE96"/>
      <c r="INF96"/>
      <c r="ING96"/>
      <c r="INH96"/>
      <c r="INI96"/>
      <c r="INJ96"/>
      <c r="INK96"/>
      <c r="INL96"/>
      <c r="INM96"/>
      <c r="INN96"/>
      <c r="INO96"/>
      <c r="INP96"/>
      <c r="INQ96"/>
      <c r="INR96"/>
      <c r="INS96"/>
      <c r="INT96"/>
      <c r="INU96"/>
      <c r="INV96"/>
      <c r="INW96"/>
      <c r="INX96"/>
      <c r="INY96"/>
      <c r="INZ96"/>
      <c r="IOA96"/>
      <c r="IOB96"/>
      <c r="IOC96"/>
      <c r="IOD96"/>
      <c r="IOE96"/>
      <c r="IOF96"/>
      <c r="IOG96"/>
      <c r="IOH96"/>
      <c r="IOI96"/>
      <c r="IOJ96"/>
      <c r="IOK96"/>
      <c r="IOL96"/>
      <c r="IOM96"/>
      <c r="ION96"/>
      <c r="IOO96"/>
      <c r="IOP96"/>
      <c r="IOQ96"/>
      <c r="IOR96"/>
      <c r="IOS96"/>
      <c r="IOT96"/>
      <c r="IOU96"/>
      <c r="IOV96"/>
      <c r="IOW96"/>
      <c r="IOX96"/>
      <c r="IOY96"/>
      <c r="IOZ96"/>
      <c r="IPA96"/>
      <c r="IPB96"/>
      <c r="IPC96"/>
      <c r="IPD96"/>
      <c r="IPE96"/>
      <c r="IPF96"/>
      <c r="IPG96"/>
      <c r="IPH96"/>
      <c r="IPI96"/>
      <c r="IPJ96"/>
      <c r="IPK96"/>
      <c r="IPL96"/>
      <c r="IPM96"/>
      <c r="IPN96"/>
      <c r="IPO96"/>
      <c r="IPP96"/>
      <c r="IPQ96"/>
      <c r="IPR96"/>
      <c r="IPS96"/>
      <c r="IPT96"/>
      <c r="IPU96"/>
      <c r="IPV96"/>
      <c r="IPW96"/>
      <c r="IPX96"/>
      <c r="IPY96"/>
      <c r="IPZ96"/>
      <c r="IQA96"/>
      <c r="IQB96"/>
      <c r="IQC96"/>
      <c r="IQD96"/>
      <c r="IQE96"/>
      <c r="IQF96"/>
      <c r="IQG96"/>
      <c r="IQH96"/>
      <c r="IQI96"/>
      <c r="IQJ96"/>
      <c r="IQK96"/>
      <c r="IQL96"/>
      <c r="IQM96"/>
      <c r="IQN96"/>
      <c r="IQO96"/>
      <c r="IQP96"/>
      <c r="IQQ96"/>
      <c r="IQR96"/>
      <c r="IQS96"/>
      <c r="IQT96"/>
      <c r="IQU96"/>
      <c r="IQV96"/>
      <c r="IQW96"/>
      <c r="IQX96"/>
      <c r="IQY96"/>
      <c r="IQZ96"/>
      <c r="IRA96"/>
      <c r="IRB96"/>
      <c r="IRC96"/>
      <c r="IRD96"/>
      <c r="IRE96"/>
      <c r="IRF96"/>
      <c r="IRG96"/>
      <c r="IRH96"/>
      <c r="IRI96"/>
      <c r="IRJ96"/>
      <c r="IRK96"/>
      <c r="IRL96"/>
      <c r="IRM96"/>
      <c r="IRN96"/>
      <c r="IRO96"/>
      <c r="IRP96"/>
      <c r="IRQ96"/>
      <c r="IRR96"/>
      <c r="IRS96"/>
      <c r="IRT96"/>
      <c r="IRU96"/>
      <c r="IRV96"/>
      <c r="IRW96"/>
      <c r="IRX96"/>
      <c r="IRY96"/>
      <c r="IRZ96"/>
      <c r="ISA96"/>
      <c r="ISB96"/>
      <c r="ISC96"/>
      <c r="ISD96"/>
      <c r="ISE96"/>
      <c r="ISF96"/>
      <c r="ISG96"/>
      <c r="ISH96"/>
      <c r="ISI96"/>
      <c r="ISJ96"/>
      <c r="ISK96"/>
      <c r="ISL96"/>
      <c r="ISM96"/>
      <c r="ISN96"/>
      <c r="ISO96"/>
      <c r="ISP96"/>
      <c r="ISQ96"/>
      <c r="ISR96"/>
      <c r="ISS96"/>
      <c r="IST96"/>
      <c r="ISU96"/>
      <c r="ISV96"/>
      <c r="ISW96"/>
      <c r="ISX96"/>
      <c r="ISY96"/>
      <c r="ISZ96"/>
      <c r="ITA96"/>
      <c r="ITB96"/>
      <c r="ITC96"/>
      <c r="ITD96"/>
      <c r="ITE96"/>
      <c r="ITF96"/>
      <c r="ITG96"/>
      <c r="ITH96"/>
      <c r="ITI96"/>
      <c r="ITJ96"/>
      <c r="ITK96"/>
      <c r="ITL96"/>
      <c r="ITM96"/>
      <c r="ITN96"/>
      <c r="ITO96"/>
      <c r="ITP96"/>
      <c r="ITQ96"/>
      <c r="ITR96"/>
      <c r="ITS96"/>
      <c r="ITT96"/>
      <c r="ITU96"/>
      <c r="ITV96"/>
      <c r="ITW96"/>
      <c r="ITX96"/>
      <c r="ITY96"/>
      <c r="ITZ96"/>
      <c r="IUA96"/>
      <c r="IUB96"/>
      <c r="IUC96"/>
      <c r="IUD96"/>
      <c r="IUE96"/>
      <c r="IUF96"/>
      <c r="IUG96"/>
      <c r="IUH96"/>
      <c r="IUI96"/>
      <c r="IUJ96"/>
      <c r="IUK96"/>
      <c r="IUL96"/>
      <c r="IUM96"/>
      <c r="IUN96"/>
      <c r="IUO96"/>
      <c r="IUP96"/>
      <c r="IUQ96"/>
      <c r="IUR96"/>
      <c r="IUS96"/>
      <c r="IUT96"/>
      <c r="IUU96"/>
      <c r="IUV96"/>
      <c r="IUW96"/>
      <c r="IUX96"/>
      <c r="IUY96"/>
      <c r="IUZ96"/>
      <c r="IVA96"/>
      <c r="IVB96"/>
      <c r="IVC96"/>
      <c r="IVD96"/>
      <c r="IVE96"/>
      <c r="IVF96"/>
      <c r="IVG96"/>
      <c r="IVH96"/>
      <c r="IVI96"/>
      <c r="IVJ96"/>
      <c r="IVK96"/>
      <c r="IVL96"/>
      <c r="IVM96"/>
      <c r="IVN96"/>
      <c r="IVO96"/>
      <c r="IVP96"/>
      <c r="IVQ96"/>
      <c r="IVR96"/>
      <c r="IVS96"/>
      <c r="IVT96"/>
      <c r="IVU96"/>
      <c r="IVV96"/>
      <c r="IVW96"/>
      <c r="IVX96"/>
      <c r="IVY96"/>
      <c r="IVZ96"/>
      <c r="IWA96"/>
      <c r="IWB96"/>
      <c r="IWC96"/>
      <c r="IWD96"/>
      <c r="IWE96"/>
      <c r="IWF96"/>
      <c r="IWG96"/>
      <c r="IWH96"/>
      <c r="IWI96"/>
      <c r="IWJ96"/>
      <c r="IWK96"/>
      <c r="IWL96"/>
      <c r="IWM96"/>
      <c r="IWN96"/>
      <c r="IWO96"/>
      <c r="IWP96"/>
      <c r="IWQ96"/>
      <c r="IWR96"/>
      <c r="IWS96"/>
      <c r="IWT96"/>
      <c r="IWU96"/>
      <c r="IWV96"/>
      <c r="IWW96"/>
      <c r="IWX96"/>
      <c r="IWY96"/>
      <c r="IWZ96"/>
      <c r="IXA96"/>
      <c r="IXB96"/>
      <c r="IXC96"/>
      <c r="IXD96"/>
      <c r="IXE96"/>
      <c r="IXF96"/>
      <c r="IXG96"/>
      <c r="IXH96"/>
      <c r="IXI96"/>
      <c r="IXJ96"/>
      <c r="IXK96"/>
      <c r="IXL96"/>
      <c r="IXM96"/>
      <c r="IXN96"/>
      <c r="IXO96"/>
      <c r="IXP96"/>
      <c r="IXQ96"/>
      <c r="IXR96"/>
      <c r="IXS96"/>
      <c r="IXT96"/>
      <c r="IXU96"/>
      <c r="IXV96"/>
      <c r="IXW96"/>
      <c r="IXX96"/>
      <c r="IXY96"/>
      <c r="IXZ96"/>
      <c r="IYA96"/>
      <c r="IYB96"/>
      <c r="IYC96"/>
      <c r="IYD96"/>
      <c r="IYE96"/>
      <c r="IYF96"/>
      <c r="IYG96"/>
      <c r="IYH96"/>
      <c r="IYI96"/>
      <c r="IYJ96"/>
      <c r="IYK96"/>
      <c r="IYL96"/>
      <c r="IYM96"/>
      <c r="IYN96"/>
      <c r="IYO96"/>
      <c r="IYP96"/>
      <c r="IYQ96"/>
      <c r="IYR96"/>
      <c r="IYS96"/>
      <c r="IYT96"/>
      <c r="IYU96"/>
      <c r="IYV96"/>
      <c r="IYW96"/>
      <c r="IYX96"/>
      <c r="IYY96"/>
      <c r="IYZ96"/>
      <c r="IZA96"/>
      <c r="IZB96"/>
      <c r="IZC96"/>
      <c r="IZD96"/>
      <c r="IZE96"/>
      <c r="IZF96"/>
      <c r="IZG96"/>
      <c r="IZH96"/>
      <c r="IZI96"/>
      <c r="IZJ96"/>
      <c r="IZK96"/>
      <c r="IZL96"/>
      <c r="IZM96"/>
      <c r="IZN96"/>
      <c r="IZO96"/>
      <c r="IZP96"/>
      <c r="IZQ96"/>
      <c r="IZR96"/>
      <c r="IZS96"/>
      <c r="IZT96"/>
      <c r="IZU96"/>
      <c r="IZV96"/>
      <c r="IZW96"/>
      <c r="IZX96"/>
      <c r="IZY96"/>
      <c r="IZZ96"/>
      <c r="JAA96"/>
      <c r="JAB96"/>
      <c r="JAC96"/>
      <c r="JAD96"/>
      <c r="JAE96"/>
      <c r="JAF96"/>
      <c r="JAG96"/>
      <c r="JAH96"/>
      <c r="JAI96"/>
      <c r="JAJ96"/>
      <c r="JAK96"/>
      <c r="JAL96"/>
      <c r="JAM96"/>
      <c r="JAN96"/>
      <c r="JAO96"/>
      <c r="JAP96"/>
      <c r="JAQ96"/>
      <c r="JAR96"/>
      <c r="JAS96"/>
      <c r="JAT96"/>
      <c r="JAU96"/>
      <c r="JAV96"/>
      <c r="JAW96"/>
      <c r="JAX96"/>
      <c r="JAY96"/>
      <c r="JAZ96"/>
      <c r="JBA96"/>
      <c r="JBB96"/>
      <c r="JBC96"/>
      <c r="JBD96"/>
      <c r="JBE96"/>
      <c r="JBF96"/>
      <c r="JBG96"/>
      <c r="JBH96"/>
      <c r="JBI96"/>
      <c r="JBJ96"/>
      <c r="JBK96"/>
      <c r="JBL96"/>
      <c r="JBM96"/>
      <c r="JBN96"/>
      <c r="JBO96"/>
      <c r="JBP96"/>
      <c r="JBQ96"/>
      <c r="JBR96"/>
      <c r="JBS96"/>
      <c r="JBT96"/>
      <c r="JBU96"/>
      <c r="JBV96"/>
      <c r="JBW96"/>
      <c r="JBX96"/>
      <c r="JBY96"/>
      <c r="JBZ96"/>
      <c r="JCA96"/>
      <c r="JCB96"/>
      <c r="JCC96"/>
      <c r="JCD96"/>
      <c r="JCE96"/>
      <c r="JCF96"/>
      <c r="JCG96"/>
      <c r="JCH96"/>
      <c r="JCI96"/>
      <c r="JCJ96"/>
      <c r="JCK96"/>
      <c r="JCL96"/>
      <c r="JCM96"/>
      <c r="JCN96"/>
      <c r="JCO96"/>
      <c r="JCP96"/>
      <c r="JCQ96"/>
      <c r="JCR96"/>
      <c r="JCS96"/>
      <c r="JCT96"/>
      <c r="JCU96"/>
      <c r="JCV96"/>
      <c r="JCW96"/>
      <c r="JCX96"/>
      <c r="JCY96"/>
      <c r="JCZ96"/>
      <c r="JDA96"/>
      <c r="JDB96"/>
      <c r="JDC96"/>
      <c r="JDD96"/>
      <c r="JDE96"/>
      <c r="JDF96"/>
      <c r="JDG96"/>
      <c r="JDH96"/>
      <c r="JDI96"/>
      <c r="JDJ96"/>
      <c r="JDK96"/>
      <c r="JDL96"/>
      <c r="JDM96"/>
      <c r="JDN96"/>
      <c r="JDO96"/>
      <c r="JDP96"/>
      <c r="JDQ96"/>
      <c r="JDR96"/>
      <c r="JDS96"/>
      <c r="JDT96"/>
      <c r="JDU96"/>
      <c r="JDV96"/>
      <c r="JDW96"/>
      <c r="JDX96"/>
      <c r="JDY96"/>
      <c r="JDZ96"/>
      <c r="JEA96"/>
      <c r="JEB96"/>
      <c r="JEC96"/>
      <c r="JED96"/>
      <c r="JEE96"/>
      <c r="JEF96"/>
      <c r="JEG96"/>
      <c r="JEH96"/>
      <c r="JEI96"/>
      <c r="JEJ96"/>
      <c r="JEK96"/>
      <c r="JEL96"/>
      <c r="JEM96"/>
      <c r="JEN96"/>
      <c r="JEO96"/>
      <c r="JEP96"/>
      <c r="JEQ96"/>
      <c r="JER96"/>
      <c r="JES96"/>
      <c r="JET96"/>
      <c r="JEU96"/>
      <c r="JEV96"/>
      <c r="JEW96"/>
      <c r="JEX96"/>
      <c r="JEY96"/>
      <c r="JEZ96"/>
      <c r="JFA96"/>
      <c r="JFB96"/>
      <c r="JFC96"/>
      <c r="JFD96"/>
      <c r="JFE96"/>
      <c r="JFF96"/>
      <c r="JFG96"/>
      <c r="JFH96"/>
      <c r="JFI96"/>
      <c r="JFJ96"/>
      <c r="JFK96"/>
      <c r="JFL96"/>
      <c r="JFM96"/>
      <c r="JFN96"/>
      <c r="JFO96"/>
      <c r="JFP96"/>
      <c r="JFQ96"/>
      <c r="JFR96"/>
      <c r="JFS96"/>
      <c r="JFT96"/>
      <c r="JFU96"/>
      <c r="JFV96"/>
      <c r="JFW96"/>
      <c r="JFX96"/>
      <c r="JFY96"/>
      <c r="JFZ96"/>
      <c r="JGA96"/>
      <c r="JGB96"/>
      <c r="JGC96"/>
      <c r="JGD96"/>
      <c r="JGE96"/>
      <c r="JGF96"/>
      <c r="JGG96"/>
      <c r="JGH96"/>
      <c r="JGI96"/>
      <c r="JGJ96"/>
      <c r="JGK96"/>
      <c r="JGL96"/>
      <c r="JGM96"/>
      <c r="JGN96"/>
      <c r="JGO96"/>
      <c r="JGP96"/>
      <c r="JGQ96"/>
      <c r="JGR96"/>
      <c r="JGS96"/>
      <c r="JGT96"/>
      <c r="JGU96"/>
      <c r="JGV96"/>
      <c r="JGW96"/>
      <c r="JGX96"/>
      <c r="JGY96"/>
      <c r="JGZ96"/>
      <c r="JHA96"/>
      <c r="JHB96"/>
      <c r="JHC96"/>
      <c r="JHD96"/>
      <c r="JHE96"/>
      <c r="JHF96"/>
      <c r="JHG96"/>
      <c r="JHH96"/>
      <c r="JHI96"/>
      <c r="JHJ96"/>
      <c r="JHK96"/>
      <c r="JHL96"/>
      <c r="JHM96"/>
      <c r="JHN96"/>
      <c r="JHO96"/>
      <c r="JHP96"/>
      <c r="JHQ96"/>
      <c r="JHR96"/>
      <c r="JHS96"/>
      <c r="JHT96"/>
      <c r="JHU96"/>
      <c r="JHV96"/>
      <c r="JHW96"/>
      <c r="JHX96"/>
      <c r="JHY96"/>
      <c r="JHZ96"/>
      <c r="JIA96"/>
      <c r="JIB96"/>
      <c r="JIC96"/>
      <c r="JID96"/>
      <c r="JIE96"/>
      <c r="JIF96"/>
      <c r="JIG96"/>
      <c r="JIH96"/>
      <c r="JII96"/>
      <c r="JIJ96"/>
      <c r="JIK96"/>
      <c r="JIL96"/>
      <c r="JIM96"/>
      <c r="JIN96"/>
      <c r="JIO96"/>
      <c r="JIP96"/>
      <c r="JIQ96"/>
      <c r="JIR96"/>
      <c r="JIS96"/>
      <c r="JIT96"/>
      <c r="JIU96"/>
      <c r="JIV96"/>
      <c r="JIW96"/>
      <c r="JIX96"/>
      <c r="JIY96"/>
      <c r="JIZ96"/>
      <c r="JJA96"/>
      <c r="JJB96"/>
      <c r="JJC96"/>
      <c r="JJD96"/>
      <c r="JJE96"/>
      <c r="JJF96"/>
      <c r="JJG96"/>
      <c r="JJH96"/>
      <c r="JJI96"/>
      <c r="JJJ96"/>
      <c r="JJK96"/>
      <c r="JJL96"/>
      <c r="JJM96"/>
      <c r="JJN96"/>
      <c r="JJO96"/>
      <c r="JJP96"/>
      <c r="JJQ96"/>
      <c r="JJR96"/>
      <c r="JJS96"/>
      <c r="JJT96"/>
      <c r="JJU96"/>
      <c r="JJV96"/>
      <c r="JJW96"/>
      <c r="JJX96"/>
      <c r="JJY96"/>
      <c r="JJZ96"/>
      <c r="JKA96"/>
      <c r="JKB96"/>
      <c r="JKC96"/>
      <c r="JKD96"/>
      <c r="JKE96"/>
      <c r="JKF96"/>
      <c r="JKG96"/>
      <c r="JKH96"/>
      <c r="JKI96"/>
      <c r="JKJ96"/>
      <c r="JKK96"/>
      <c r="JKL96"/>
      <c r="JKM96"/>
      <c r="JKN96"/>
      <c r="JKO96"/>
      <c r="JKP96"/>
      <c r="JKQ96"/>
      <c r="JKR96"/>
      <c r="JKS96"/>
      <c r="JKT96"/>
      <c r="JKU96"/>
      <c r="JKV96"/>
      <c r="JKW96"/>
      <c r="JKX96"/>
      <c r="JKY96"/>
      <c r="JKZ96"/>
      <c r="JLA96"/>
      <c r="JLB96"/>
      <c r="JLC96"/>
      <c r="JLD96"/>
      <c r="JLE96"/>
      <c r="JLF96"/>
      <c r="JLG96"/>
      <c r="JLH96"/>
      <c r="JLI96"/>
      <c r="JLJ96"/>
      <c r="JLK96"/>
      <c r="JLL96"/>
      <c r="JLM96"/>
      <c r="JLN96"/>
      <c r="JLO96"/>
      <c r="JLP96"/>
      <c r="JLQ96"/>
      <c r="JLR96"/>
      <c r="JLS96"/>
      <c r="JLT96"/>
      <c r="JLU96"/>
      <c r="JLV96"/>
      <c r="JLW96"/>
      <c r="JLX96"/>
      <c r="JLY96"/>
      <c r="JLZ96"/>
      <c r="JMA96"/>
      <c r="JMB96"/>
      <c r="JMC96"/>
      <c r="JMD96"/>
      <c r="JME96"/>
      <c r="JMF96"/>
      <c r="JMG96"/>
      <c r="JMH96"/>
      <c r="JMI96"/>
      <c r="JMJ96"/>
      <c r="JMK96"/>
      <c r="JML96"/>
      <c r="JMM96"/>
      <c r="JMN96"/>
      <c r="JMO96"/>
      <c r="JMP96"/>
      <c r="JMQ96"/>
      <c r="JMR96"/>
      <c r="JMS96"/>
      <c r="JMT96"/>
      <c r="JMU96"/>
      <c r="JMV96"/>
      <c r="JMW96"/>
      <c r="JMX96"/>
      <c r="JMY96"/>
      <c r="JMZ96"/>
      <c r="JNA96"/>
      <c r="JNB96"/>
      <c r="JNC96"/>
      <c r="JND96"/>
      <c r="JNE96"/>
      <c r="JNF96"/>
      <c r="JNG96"/>
      <c r="JNH96"/>
      <c r="JNI96"/>
      <c r="JNJ96"/>
      <c r="JNK96"/>
      <c r="JNL96"/>
      <c r="JNM96"/>
      <c r="JNN96"/>
      <c r="JNO96"/>
      <c r="JNP96"/>
      <c r="JNQ96"/>
      <c r="JNR96"/>
      <c r="JNS96"/>
      <c r="JNT96"/>
      <c r="JNU96"/>
      <c r="JNV96"/>
      <c r="JNW96"/>
      <c r="JNX96"/>
      <c r="JNY96"/>
      <c r="JNZ96"/>
      <c r="JOA96"/>
      <c r="JOB96"/>
      <c r="JOC96"/>
      <c r="JOD96"/>
      <c r="JOE96"/>
      <c r="JOF96"/>
      <c r="JOG96"/>
      <c r="JOH96"/>
      <c r="JOI96"/>
      <c r="JOJ96"/>
      <c r="JOK96"/>
      <c r="JOL96"/>
      <c r="JOM96"/>
      <c r="JON96"/>
      <c r="JOO96"/>
      <c r="JOP96"/>
      <c r="JOQ96"/>
      <c r="JOR96"/>
      <c r="JOS96"/>
      <c r="JOT96"/>
      <c r="JOU96"/>
      <c r="JOV96"/>
      <c r="JOW96"/>
      <c r="JOX96"/>
      <c r="JOY96"/>
      <c r="JOZ96"/>
      <c r="JPA96"/>
      <c r="JPB96"/>
      <c r="JPC96"/>
      <c r="JPD96"/>
      <c r="JPE96"/>
      <c r="JPF96"/>
      <c r="JPG96"/>
      <c r="JPH96"/>
      <c r="JPI96"/>
      <c r="JPJ96"/>
      <c r="JPK96"/>
      <c r="JPL96"/>
      <c r="JPM96"/>
      <c r="JPN96"/>
      <c r="JPO96"/>
      <c r="JPP96"/>
      <c r="JPQ96"/>
      <c r="JPR96"/>
      <c r="JPS96"/>
      <c r="JPT96"/>
      <c r="JPU96"/>
      <c r="JPV96"/>
      <c r="JPW96"/>
      <c r="JPX96"/>
      <c r="JPY96"/>
      <c r="JPZ96"/>
      <c r="JQA96"/>
      <c r="JQB96"/>
      <c r="JQC96"/>
      <c r="JQD96"/>
      <c r="JQE96"/>
      <c r="JQF96"/>
      <c r="JQG96"/>
      <c r="JQH96"/>
      <c r="JQI96"/>
      <c r="JQJ96"/>
      <c r="JQK96"/>
      <c r="JQL96"/>
      <c r="JQM96"/>
      <c r="JQN96"/>
      <c r="JQO96"/>
      <c r="JQP96"/>
      <c r="JQQ96"/>
      <c r="JQR96"/>
      <c r="JQS96"/>
      <c r="JQT96"/>
      <c r="JQU96"/>
      <c r="JQV96"/>
      <c r="JQW96"/>
      <c r="JQX96"/>
      <c r="JQY96"/>
      <c r="JQZ96"/>
      <c r="JRA96"/>
      <c r="JRB96"/>
      <c r="JRC96"/>
      <c r="JRD96"/>
      <c r="JRE96"/>
      <c r="JRF96"/>
      <c r="JRG96"/>
      <c r="JRH96"/>
      <c r="JRI96"/>
      <c r="JRJ96"/>
      <c r="JRK96"/>
      <c r="JRL96"/>
      <c r="JRM96"/>
      <c r="JRN96"/>
      <c r="JRO96"/>
      <c r="JRP96"/>
      <c r="JRQ96"/>
      <c r="JRR96"/>
      <c r="JRS96"/>
      <c r="JRT96"/>
      <c r="JRU96"/>
      <c r="JRV96"/>
      <c r="JRW96"/>
      <c r="JRX96"/>
      <c r="JRY96"/>
      <c r="JRZ96"/>
      <c r="JSA96"/>
      <c r="JSB96"/>
      <c r="JSC96"/>
      <c r="JSD96"/>
      <c r="JSE96"/>
      <c r="JSF96"/>
      <c r="JSG96"/>
      <c r="JSH96"/>
      <c r="JSI96"/>
      <c r="JSJ96"/>
      <c r="JSK96"/>
      <c r="JSL96"/>
      <c r="JSM96"/>
      <c r="JSN96"/>
      <c r="JSO96"/>
      <c r="JSP96"/>
      <c r="JSQ96"/>
      <c r="JSR96"/>
      <c r="JSS96"/>
      <c r="JST96"/>
      <c r="JSU96"/>
      <c r="JSV96"/>
      <c r="JSW96"/>
      <c r="JSX96"/>
      <c r="JSY96"/>
      <c r="JSZ96"/>
      <c r="JTA96"/>
      <c r="JTB96"/>
      <c r="JTC96"/>
      <c r="JTD96"/>
      <c r="JTE96"/>
      <c r="JTF96"/>
      <c r="JTG96"/>
      <c r="JTH96"/>
      <c r="JTI96"/>
      <c r="JTJ96"/>
      <c r="JTK96"/>
      <c r="JTL96"/>
      <c r="JTM96"/>
      <c r="JTN96"/>
      <c r="JTO96"/>
      <c r="JTP96"/>
      <c r="JTQ96"/>
      <c r="JTR96"/>
      <c r="JTS96"/>
      <c r="JTT96"/>
      <c r="JTU96"/>
      <c r="JTV96"/>
      <c r="JTW96"/>
      <c r="JTX96"/>
      <c r="JTY96"/>
      <c r="JTZ96"/>
      <c r="JUA96"/>
      <c r="JUB96"/>
      <c r="JUC96"/>
      <c r="JUD96"/>
      <c r="JUE96"/>
      <c r="JUF96"/>
      <c r="JUG96"/>
      <c r="JUH96"/>
      <c r="JUI96"/>
      <c r="JUJ96"/>
      <c r="JUK96"/>
      <c r="JUL96"/>
      <c r="JUM96"/>
      <c r="JUN96"/>
      <c r="JUO96"/>
      <c r="JUP96"/>
      <c r="JUQ96"/>
      <c r="JUR96"/>
      <c r="JUS96"/>
      <c r="JUT96"/>
      <c r="JUU96"/>
      <c r="JUV96"/>
      <c r="JUW96"/>
      <c r="JUX96"/>
      <c r="JUY96"/>
      <c r="JUZ96"/>
      <c r="JVA96"/>
      <c r="JVB96"/>
      <c r="JVC96"/>
      <c r="JVD96"/>
      <c r="JVE96"/>
      <c r="JVF96"/>
      <c r="JVG96"/>
      <c r="JVH96"/>
      <c r="JVI96"/>
      <c r="JVJ96"/>
      <c r="JVK96"/>
      <c r="JVL96"/>
      <c r="JVM96"/>
      <c r="JVN96"/>
      <c r="JVO96"/>
      <c r="JVP96"/>
      <c r="JVQ96"/>
      <c r="JVR96"/>
      <c r="JVS96"/>
      <c r="JVT96"/>
      <c r="JVU96"/>
      <c r="JVV96"/>
      <c r="JVW96"/>
      <c r="JVX96"/>
      <c r="JVY96"/>
      <c r="JVZ96"/>
      <c r="JWA96"/>
      <c r="JWB96"/>
      <c r="JWC96"/>
      <c r="JWD96"/>
      <c r="JWE96"/>
      <c r="JWF96"/>
      <c r="JWG96"/>
      <c r="JWH96"/>
      <c r="JWI96"/>
      <c r="JWJ96"/>
      <c r="JWK96"/>
      <c r="JWL96"/>
      <c r="JWM96"/>
      <c r="JWN96"/>
      <c r="JWO96"/>
      <c r="JWP96"/>
      <c r="JWQ96"/>
      <c r="JWR96"/>
      <c r="JWS96"/>
      <c r="JWT96"/>
      <c r="JWU96"/>
      <c r="JWV96"/>
      <c r="JWW96"/>
      <c r="JWX96"/>
      <c r="JWY96"/>
      <c r="JWZ96"/>
      <c r="JXA96"/>
      <c r="JXB96"/>
      <c r="JXC96"/>
      <c r="JXD96"/>
      <c r="JXE96"/>
      <c r="JXF96"/>
      <c r="JXG96"/>
      <c r="JXH96"/>
      <c r="JXI96"/>
      <c r="JXJ96"/>
      <c r="JXK96"/>
      <c r="JXL96"/>
      <c r="JXM96"/>
      <c r="JXN96"/>
      <c r="JXO96"/>
      <c r="JXP96"/>
      <c r="JXQ96"/>
      <c r="JXR96"/>
      <c r="JXS96"/>
      <c r="JXT96"/>
      <c r="JXU96"/>
      <c r="JXV96"/>
      <c r="JXW96"/>
      <c r="JXX96"/>
      <c r="JXY96"/>
      <c r="JXZ96"/>
      <c r="JYA96"/>
      <c r="JYB96"/>
      <c r="JYC96"/>
      <c r="JYD96"/>
      <c r="JYE96"/>
      <c r="JYF96"/>
      <c r="JYG96"/>
      <c r="JYH96"/>
      <c r="JYI96"/>
      <c r="JYJ96"/>
      <c r="JYK96"/>
      <c r="JYL96"/>
      <c r="JYM96"/>
      <c r="JYN96"/>
      <c r="JYO96"/>
      <c r="JYP96"/>
      <c r="JYQ96"/>
      <c r="JYR96"/>
      <c r="JYS96"/>
      <c r="JYT96"/>
      <c r="JYU96"/>
      <c r="JYV96"/>
      <c r="JYW96"/>
      <c r="JYX96"/>
      <c r="JYY96"/>
      <c r="JYZ96"/>
      <c r="JZA96"/>
      <c r="JZB96"/>
      <c r="JZC96"/>
      <c r="JZD96"/>
      <c r="JZE96"/>
      <c r="JZF96"/>
      <c r="JZG96"/>
      <c r="JZH96"/>
      <c r="JZI96"/>
      <c r="JZJ96"/>
      <c r="JZK96"/>
      <c r="JZL96"/>
      <c r="JZM96"/>
      <c r="JZN96"/>
      <c r="JZO96"/>
      <c r="JZP96"/>
      <c r="JZQ96"/>
      <c r="JZR96"/>
      <c r="JZS96"/>
      <c r="JZT96"/>
      <c r="JZU96"/>
      <c r="JZV96"/>
      <c r="JZW96"/>
      <c r="JZX96"/>
      <c r="JZY96"/>
      <c r="JZZ96"/>
      <c r="KAA96"/>
      <c r="KAB96"/>
      <c r="KAC96"/>
      <c r="KAD96"/>
      <c r="KAE96"/>
      <c r="KAF96"/>
      <c r="KAG96"/>
      <c r="KAH96"/>
      <c r="KAI96"/>
      <c r="KAJ96"/>
      <c r="KAK96"/>
      <c r="KAL96"/>
      <c r="KAM96"/>
      <c r="KAN96"/>
      <c r="KAO96"/>
      <c r="KAP96"/>
      <c r="KAQ96"/>
      <c r="KAR96"/>
      <c r="KAS96"/>
      <c r="KAT96"/>
      <c r="KAU96"/>
      <c r="KAV96"/>
      <c r="KAW96"/>
      <c r="KAX96"/>
      <c r="KAY96"/>
      <c r="KAZ96"/>
      <c r="KBA96"/>
      <c r="KBB96"/>
      <c r="KBC96"/>
      <c r="KBD96"/>
      <c r="KBE96"/>
      <c r="KBF96"/>
      <c r="KBG96"/>
      <c r="KBH96"/>
      <c r="KBI96"/>
      <c r="KBJ96"/>
      <c r="KBK96"/>
      <c r="KBL96"/>
      <c r="KBM96"/>
      <c r="KBN96"/>
      <c r="KBO96"/>
      <c r="KBP96"/>
      <c r="KBQ96"/>
      <c r="KBR96"/>
      <c r="KBS96"/>
      <c r="KBT96"/>
      <c r="KBU96"/>
      <c r="KBV96"/>
      <c r="KBW96"/>
      <c r="KBX96"/>
      <c r="KBY96"/>
      <c r="KBZ96"/>
      <c r="KCA96"/>
      <c r="KCB96"/>
      <c r="KCC96"/>
      <c r="KCD96"/>
      <c r="KCE96"/>
      <c r="KCF96"/>
      <c r="KCG96"/>
      <c r="KCH96"/>
      <c r="KCI96"/>
      <c r="KCJ96"/>
      <c r="KCK96"/>
      <c r="KCL96"/>
      <c r="KCM96"/>
      <c r="KCN96"/>
      <c r="KCO96"/>
      <c r="KCP96"/>
      <c r="KCQ96"/>
      <c r="KCR96"/>
      <c r="KCS96"/>
      <c r="KCT96"/>
      <c r="KCU96"/>
      <c r="KCV96"/>
      <c r="KCW96"/>
      <c r="KCX96"/>
      <c r="KCY96"/>
      <c r="KCZ96"/>
      <c r="KDA96"/>
      <c r="KDB96"/>
      <c r="KDC96"/>
      <c r="KDD96"/>
      <c r="KDE96"/>
      <c r="KDF96"/>
      <c r="KDG96"/>
      <c r="KDH96"/>
      <c r="KDI96"/>
      <c r="KDJ96"/>
      <c r="KDK96"/>
      <c r="KDL96"/>
      <c r="KDM96"/>
      <c r="KDN96"/>
      <c r="KDO96"/>
      <c r="KDP96"/>
      <c r="KDQ96"/>
      <c r="KDR96"/>
      <c r="KDS96"/>
      <c r="KDT96"/>
      <c r="KDU96"/>
      <c r="KDV96"/>
      <c r="KDW96"/>
      <c r="KDX96"/>
      <c r="KDY96"/>
      <c r="KDZ96"/>
      <c r="KEA96"/>
      <c r="KEB96"/>
      <c r="KEC96"/>
      <c r="KED96"/>
      <c r="KEE96"/>
      <c r="KEF96"/>
      <c r="KEG96"/>
      <c r="KEH96"/>
      <c r="KEI96"/>
      <c r="KEJ96"/>
      <c r="KEK96"/>
      <c r="KEL96"/>
      <c r="KEM96"/>
      <c r="KEN96"/>
      <c r="KEO96"/>
      <c r="KEP96"/>
      <c r="KEQ96"/>
      <c r="KER96"/>
      <c r="KES96"/>
      <c r="KET96"/>
      <c r="KEU96"/>
      <c r="KEV96"/>
      <c r="KEW96"/>
      <c r="KEX96"/>
      <c r="KEY96"/>
      <c r="KEZ96"/>
      <c r="KFA96"/>
      <c r="KFB96"/>
      <c r="KFC96"/>
      <c r="KFD96"/>
      <c r="KFE96"/>
      <c r="KFF96"/>
      <c r="KFG96"/>
      <c r="KFH96"/>
      <c r="KFI96"/>
      <c r="KFJ96"/>
      <c r="KFK96"/>
      <c r="KFL96"/>
      <c r="KFM96"/>
      <c r="KFN96"/>
      <c r="KFO96"/>
      <c r="KFP96"/>
      <c r="KFQ96"/>
      <c r="KFR96"/>
      <c r="KFS96"/>
      <c r="KFT96"/>
      <c r="KFU96"/>
      <c r="KFV96"/>
      <c r="KFW96"/>
      <c r="KFX96"/>
      <c r="KFY96"/>
      <c r="KFZ96"/>
      <c r="KGA96"/>
      <c r="KGB96"/>
      <c r="KGC96"/>
      <c r="KGD96"/>
      <c r="KGE96"/>
      <c r="KGF96"/>
      <c r="KGG96"/>
      <c r="KGH96"/>
      <c r="KGI96"/>
      <c r="KGJ96"/>
      <c r="KGK96"/>
      <c r="KGL96"/>
      <c r="KGM96"/>
      <c r="KGN96"/>
      <c r="KGO96"/>
      <c r="KGP96"/>
      <c r="KGQ96"/>
      <c r="KGR96"/>
      <c r="KGS96"/>
      <c r="KGT96"/>
      <c r="KGU96"/>
      <c r="KGV96"/>
      <c r="KGW96"/>
      <c r="KGX96"/>
      <c r="KGY96"/>
      <c r="KGZ96"/>
      <c r="KHA96"/>
      <c r="KHB96"/>
      <c r="KHC96"/>
      <c r="KHD96"/>
      <c r="KHE96"/>
      <c r="KHF96"/>
      <c r="KHG96"/>
      <c r="KHH96"/>
      <c r="KHI96"/>
      <c r="KHJ96"/>
      <c r="KHK96"/>
      <c r="KHL96"/>
      <c r="KHM96"/>
      <c r="KHN96"/>
      <c r="KHO96"/>
      <c r="KHP96"/>
      <c r="KHQ96"/>
      <c r="KHR96"/>
      <c r="KHS96"/>
      <c r="KHT96"/>
      <c r="KHU96"/>
      <c r="KHV96"/>
      <c r="KHW96"/>
      <c r="KHX96"/>
      <c r="KHY96"/>
      <c r="KHZ96"/>
      <c r="KIA96"/>
      <c r="KIB96"/>
      <c r="KIC96"/>
      <c r="KID96"/>
      <c r="KIE96"/>
      <c r="KIF96"/>
      <c r="KIG96"/>
      <c r="KIH96"/>
      <c r="KII96"/>
      <c r="KIJ96"/>
      <c r="KIK96"/>
      <c r="KIL96"/>
      <c r="KIM96"/>
      <c r="KIN96"/>
      <c r="KIO96"/>
      <c r="KIP96"/>
      <c r="KIQ96"/>
      <c r="KIR96"/>
      <c r="KIS96"/>
      <c r="KIT96"/>
      <c r="KIU96"/>
      <c r="KIV96"/>
      <c r="KIW96"/>
      <c r="KIX96"/>
      <c r="KIY96"/>
      <c r="KIZ96"/>
      <c r="KJA96"/>
      <c r="KJB96"/>
      <c r="KJC96"/>
      <c r="KJD96"/>
      <c r="KJE96"/>
      <c r="KJF96"/>
      <c r="KJG96"/>
      <c r="KJH96"/>
      <c r="KJI96"/>
      <c r="KJJ96"/>
      <c r="KJK96"/>
      <c r="KJL96"/>
      <c r="KJM96"/>
      <c r="KJN96"/>
      <c r="KJO96"/>
      <c r="KJP96"/>
      <c r="KJQ96"/>
      <c r="KJR96"/>
      <c r="KJS96"/>
      <c r="KJT96"/>
      <c r="KJU96"/>
      <c r="KJV96"/>
      <c r="KJW96"/>
      <c r="KJX96"/>
      <c r="KJY96"/>
      <c r="KJZ96"/>
      <c r="KKA96"/>
      <c r="KKB96"/>
      <c r="KKC96"/>
      <c r="KKD96"/>
      <c r="KKE96"/>
      <c r="KKF96"/>
      <c r="KKG96"/>
      <c r="KKH96"/>
      <c r="KKI96"/>
      <c r="KKJ96"/>
      <c r="KKK96"/>
      <c r="KKL96"/>
      <c r="KKM96"/>
      <c r="KKN96"/>
      <c r="KKO96"/>
      <c r="KKP96"/>
      <c r="KKQ96"/>
      <c r="KKR96"/>
      <c r="KKS96"/>
      <c r="KKT96"/>
      <c r="KKU96"/>
      <c r="KKV96"/>
      <c r="KKW96"/>
      <c r="KKX96"/>
      <c r="KKY96"/>
      <c r="KKZ96"/>
      <c r="KLA96"/>
      <c r="KLB96"/>
      <c r="KLC96"/>
      <c r="KLD96"/>
      <c r="KLE96"/>
      <c r="KLF96"/>
      <c r="KLG96"/>
      <c r="KLH96"/>
      <c r="KLI96"/>
      <c r="KLJ96"/>
      <c r="KLK96"/>
      <c r="KLL96"/>
      <c r="KLM96"/>
      <c r="KLN96"/>
      <c r="KLO96"/>
      <c r="KLP96"/>
      <c r="KLQ96"/>
      <c r="KLR96"/>
      <c r="KLS96"/>
      <c r="KLT96"/>
      <c r="KLU96"/>
      <c r="KLV96"/>
      <c r="KLW96"/>
      <c r="KLX96"/>
      <c r="KLY96"/>
      <c r="KLZ96"/>
      <c r="KMA96"/>
      <c r="KMB96"/>
      <c r="KMC96"/>
      <c r="KMD96"/>
      <c r="KME96"/>
      <c r="KMF96"/>
      <c r="KMG96"/>
      <c r="KMH96"/>
      <c r="KMI96"/>
      <c r="KMJ96"/>
      <c r="KMK96"/>
      <c r="KML96"/>
      <c r="KMM96"/>
      <c r="KMN96"/>
      <c r="KMO96"/>
      <c r="KMP96"/>
      <c r="KMQ96"/>
      <c r="KMR96"/>
      <c r="KMS96"/>
      <c r="KMT96"/>
      <c r="KMU96"/>
      <c r="KMV96"/>
      <c r="KMW96"/>
      <c r="KMX96"/>
      <c r="KMY96"/>
      <c r="KMZ96"/>
      <c r="KNA96"/>
      <c r="KNB96"/>
      <c r="KNC96"/>
      <c r="KND96"/>
      <c r="KNE96"/>
      <c r="KNF96"/>
      <c r="KNG96"/>
      <c r="KNH96"/>
      <c r="KNI96"/>
      <c r="KNJ96"/>
      <c r="KNK96"/>
      <c r="KNL96"/>
      <c r="KNM96"/>
      <c r="KNN96"/>
      <c r="KNO96"/>
      <c r="KNP96"/>
      <c r="KNQ96"/>
      <c r="KNR96"/>
      <c r="KNS96"/>
      <c r="KNT96"/>
      <c r="KNU96"/>
      <c r="KNV96"/>
      <c r="KNW96"/>
      <c r="KNX96"/>
      <c r="KNY96"/>
      <c r="KNZ96"/>
      <c r="KOA96"/>
      <c r="KOB96"/>
      <c r="KOC96"/>
      <c r="KOD96"/>
      <c r="KOE96"/>
      <c r="KOF96"/>
      <c r="KOG96"/>
      <c r="KOH96"/>
      <c r="KOI96"/>
      <c r="KOJ96"/>
      <c r="KOK96"/>
      <c r="KOL96"/>
      <c r="KOM96"/>
      <c r="KON96"/>
      <c r="KOO96"/>
      <c r="KOP96"/>
      <c r="KOQ96"/>
      <c r="KOR96"/>
      <c r="KOS96"/>
      <c r="KOT96"/>
      <c r="KOU96"/>
      <c r="KOV96"/>
      <c r="KOW96"/>
      <c r="KOX96"/>
      <c r="KOY96"/>
      <c r="KOZ96"/>
      <c r="KPA96"/>
      <c r="KPB96"/>
      <c r="KPC96"/>
      <c r="KPD96"/>
      <c r="KPE96"/>
      <c r="KPF96"/>
      <c r="KPG96"/>
      <c r="KPH96"/>
      <c r="KPI96"/>
      <c r="KPJ96"/>
      <c r="KPK96"/>
      <c r="KPL96"/>
      <c r="KPM96"/>
      <c r="KPN96"/>
      <c r="KPO96"/>
      <c r="KPP96"/>
      <c r="KPQ96"/>
      <c r="KPR96"/>
      <c r="KPS96"/>
      <c r="KPT96"/>
      <c r="KPU96"/>
      <c r="KPV96"/>
      <c r="KPW96"/>
      <c r="KPX96"/>
      <c r="KPY96"/>
      <c r="KPZ96"/>
      <c r="KQA96"/>
      <c r="KQB96"/>
      <c r="KQC96"/>
      <c r="KQD96"/>
      <c r="KQE96"/>
      <c r="KQF96"/>
      <c r="KQG96"/>
      <c r="KQH96"/>
      <c r="KQI96"/>
      <c r="KQJ96"/>
      <c r="KQK96"/>
      <c r="KQL96"/>
      <c r="KQM96"/>
      <c r="KQN96"/>
      <c r="KQO96"/>
      <c r="KQP96"/>
      <c r="KQQ96"/>
      <c r="KQR96"/>
      <c r="KQS96"/>
      <c r="KQT96"/>
      <c r="KQU96"/>
      <c r="KQV96"/>
      <c r="KQW96"/>
      <c r="KQX96"/>
      <c r="KQY96"/>
      <c r="KQZ96"/>
      <c r="KRA96"/>
      <c r="KRB96"/>
      <c r="KRC96"/>
      <c r="KRD96"/>
      <c r="KRE96"/>
      <c r="KRF96"/>
      <c r="KRG96"/>
      <c r="KRH96"/>
      <c r="KRI96"/>
      <c r="KRJ96"/>
      <c r="KRK96"/>
      <c r="KRL96"/>
      <c r="KRM96"/>
      <c r="KRN96"/>
      <c r="KRO96"/>
      <c r="KRP96"/>
      <c r="KRQ96"/>
      <c r="KRR96"/>
      <c r="KRS96"/>
      <c r="KRT96"/>
      <c r="KRU96"/>
      <c r="KRV96"/>
      <c r="KRW96"/>
      <c r="KRX96"/>
      <c r="KRY96"/>
      <c r="KRZ96"/>
      <c r="KSA96"/>
      <c r="KSB96"/>
      <c r="KSC96"/>
      <c r="KSD96"/>
      <c r="KSE96"/>
      <c r="KSF96"/>
      <c r="KSG96"/>
      <c r="KSH96"/>
      <c r="KSI96"/>
      <c r="KSJ96"/>
      <c r="KSK96"/>
      <c r="KSL96"/>
      <c r="KSM96"/>
      <c r="KSN96"/>
      <c r="KSO96"/>
      <c r="KSP96"/>
      <c r="KSQ96"/>
      <c r="KSR96"/>
      <c r="KSS96"/>
      <c r="KST96"/>
      <c r="KSU96"/>
      <c r="KSV96"/>
      <c r="KSW96"/>
      <c r="KSX96"/>
      <c r="KSY96"/>
      <c r="KSZ96"/>
      <c r="KTA96"/>
      <c r="KTB96"/>
      <c r="KTC96"/>
      <c r="KTD96"/>
      <c r="KTE96"/>
      <c r="KTF96"/>
      <c r="KTG96"/>
      <c r="KTH96"/>
      <c r="KTI96"/>
      <c r="KTJ96"/>
      <c r="KTK96"/>
      <c r="KTL96"/>
      <c r="KTM96"/>
      <c r="KTN96"/>
      <c r="KTO96"/>
      <c r="KTP96"/>
      <c r="KTQ96"/>
      <c r="KTR96"/>
      <c r="KTS96"/>
      <c r="KTT96"/>
      <c r="KTU96"/>
      <c r="KTV96"/>
      <c r="KTW96"/>
      <c r="KTX96"/>
      <c r="KTY96"/>
      <c r="KTZ96"/>
      <c r="KUA96"/>
      <c r="KUB96"/>
      <c r="KUC96"/>
      <c r="KUD96"/>
      <c r="KUE96"/>
      <c r="KUF96"/>
      <c r="KUG96"/>
      <c r="KUH96"/>
      <c r="KUI96"/>
      <c r="KUJ96"/>
      <c r="KUK96"/>
      <c r="KUL96"/>
      <c r="KUM96"/>
      <c r="KUN96"/>
      <c r="KUO96"/>
      <c r="KUP96"/>
      <c r="KUQ96"/>
      <c r="KUR96"/>
      <c r="KUS96"/>
      <c r="KUT96"/>
      <c r="KUU96"/>
      <c r="KUV96"/>
      <c r="KUW96"/>
      <c r="KUX96"/>
      <c r="KUY96"/>
      <c r="KUZ96"/>
      <c r="KVA96"/>
      <c r="KVB96"/>
      <c r="KVC96"/>
      <c r="KVD96"/>
      <c r="KVE96"/>
      <c r="KVF96"/>
      <c r="KVG96"/>
      <c r="KVH96"/>
      <c r="KVI96"/>
      <c r="KVJ96"/>
      <c r="KVK96"/>
      <c r="KVL96"/>
      <c r="KVM96"/>
      <c r="KVN96"/>
      <c r="KVO96"/>
      <c r="KVP96"/>
      <c r="KVQ96"/>
      <c r="KVR96"/>
      <c r="KVS96"/>
      <c r="KVT96"/>
      <c r="KVU96"/>
      <c r="KVV96"/>
      <c r="KVW96"/>
      <c r="KVX96"/>
      <c r="KVY96"/>
      <c r="KVZ96"/>
      <c r="KWA96"/>
      <c r="KWB96"/>
      <c r="KWC96"/>
      <c r="KWD96"/>
      <c r="KWE96"/>
      <c r="KWF96"/>
      <c r="KWG96"/>
      <c r="KWH96"/>
      <c r="KWI96"/>
      <c r="KWJ96"/>
      <c r="KWK96"/>
      <c r="KWL96"/>
      <c r="KWM96"/>
      <c r="KWN96"/>
      <c r="KWO96"/>
      <c r="KWP96"/>
      <c r="KWQ96"/>
      <c r="KWR96"/>
      <c r="KWS96"/>
      <c r="KWT96"/>
      <c r="KWU96"/>
      <c r="KWV96"/>
      <c r="KWW96"/>
      <c r="KWX96"/>
      <c r="KWY96"/>
      <c r="KWZ96"/>
      <c r="KXA96"/>
      <c r="KXB96"/>
      <c r="KXC96"/>
      <c r="KXD96"/>
      <c r="KXE96"/>
      <c r="KXF96"/>
      <c r="KXG96"/>
      <c r="KXH96"/>
      <c r="KXI96"/>
      <c r="KXJ96"/>
      <c r="KXK96"/>
      <c r="KXL96"/>
      <c r="KXM96"/>
      <c r="KXN96"/>
      <c r="KXO96"/>
      <c r="KXP96"/>
      <c r="KXQ96"/>
      <c r="KXR96"/>
      <c r="KXS96"/>
      <c r="KXT96"/>
      <c r="KXU96"/>
      <c r="KXV96"/>
      <c r="KXW96"/>
      <c r="KXX96"/>
      <c r="KXY96"/>
      <c r="KXZ96"/>
      <c r="KYA96"/>
      <c r="KYB96"/>
      <c r="KYC96"/>
      <c r="KYD96"/>
      <c r="KYE96"/>
      <c r="KYF96"/>
      <c r="KYG96"/>
      <c r="KYH96"/>
      <c r="KYI96"/>
      <c r="KYJ96"/>
      <c r="KYK96"/>
      <c r="KYL96"/>
      <c r="KYM96"/>
      <c r="KYN96"/>
      <c r="KYO96"/>
      <c r="KYP96"/>
      <c r="KYQ96"/>
      <c r="KYR96"/>
      <c r="KYS96"/>
      <c r="KYT96"/>
      <c r="KYU96"/>
      <c r="KYV96"/>
      <c r="KYW96"/>
      <c r="KYX96"/>
      <c r="KYY96"/>
      <c r="KYZ96"/>
      <c r="KZA96"/>
      <c r="KZB96"/>
      <c r="KZC96"/>
      <c r="KZD96"/>
      <c r="KZE96"/>
      <c r="KZF96"/>
      <c r="KZG96"/>
      <c r="KZH96"/>
      <c r="KZI96"/>
      <c r="KZJ96"/>
      <c r="KZK96"/>
      <c r="KZL96"/>
      <c r="KZM96"/>
      <c r="KZN96"/>
      <c r="KZO96"/>
      <c r="KZP96"/>
      <c r="KZQ96"/>
      <c r="KZR96"/>
      <c r="KZS96"/>
      <c r="KZT96"/>
      <c r="KZU96"/>
      <c r="KZV96"/>
      <c r="KZW96"/>
      <c r="KZX96"/>
      <c r="KZY96"/>
      <c r="KZZ96"/>
      <c r="LAA96"/>
      <c r="LAB96"/>
      <c r="LAC96"/>
      <c r="LAD96"/>
      <c r="LAE96"/>
      <c r="LAF96"/>
      <c r="LAG96"/>
      <c r="LAH96"/>
      <c r="LAI96"/>
      <c r="LAJ96"/>
      <c r="LAK96"/>
      <c r="LAL96"/>
      <c r="LAM96"/>
      <c r="LAN96"/>
      <c r="LAO96"/>
      <c r="LAP96"/>
      <c r="LAQ96"/>
      <c r="LAR96"/>
      <c r="LAS96"/>
      <c r="LAT96"/>
      <c r="LAU96"/>
      <c r="LAV96"/>
      <c r="LAW96"/>
      <c r="LAX96"/>
      <c r="LAY96"/>
      <c r="LAZ96"/>
      <c r="LBA96"/>
      <c r="LBB96"/>
      <c r="LBC96"/>
      <c r="LBD96"/>
      <c r="LBE96"/>
      <c r="LBF96"/>
      <c r="LBG96"/>
      <c r="LBH96"/>
      <c r="LBI96"/>
      <c r="LBJ96"/>
      <c r="LBK96"/>
      <c r="LBL96"/>
      <c r="LBM96"/>
      <c r="LBN96"/>
      <c r="LBO96"/>
      <c r="LBP96"/>
      <c r="LBQ96"/>
      <c r="LBR96"/>
      <c r="LBS96"/>
      <c r="LBT96"/>
      <c r="LBU96"/>
      <c r="LBV96"/>
      <c r="LBW96"/>
      <c r="LBX96"/>
      <c r="LBY96"/>
      <c r="LBZ96"/>
      <c r="LCA96"/>
      <c r="LCB96"/>
      <c r="LCC96"/>
      <c r="LCD96"/>
      <c r="LCE96"/>
      <c r="LCF96"/>
      <c r="LCG96"/>
      <c r="LCH96"/>
      <c r="LCI96"/>
      <c r="LCJ96"/>
      <c r="LCK96"/>
      <c r="LCL96"/>
      <c r="LCM96"/>
      <c r="LCN96"/>
      <c r="LCO96"/>
      <c r="LCP96"/>
      <c r="LCQ96"/>
      <c r="LCR96"/>
      <c r="LCS96"/>
      <c r="LCT96"/>
      <c r="LCU96"/>
      <c r="LCV96"/>
      <c r="LCW96"/>
      <c r="LCX96"/>
      <c r="LCY96"/>
      <c r="LCZ96"/>
      <c r="LDA96"/>
      <c r="LDB96"/>
      <c r="LDC96"/>
      <c r="LDD96"/>
      <c r="LDE96"/>
      <c r="LDF96"/>
      <c r="LDG96"/>
      <c r="LDH96"/>
      <c r="LDI96"/>
      <c r="LDJ96"/>
      <c r="LDK96"/>
      <c r="LDL96"/>
      <c r="LDM96"/>
      <c r="LDN96"/>
      <c r="LDO96"/>
      <c r="LDP96"/>
      <c r="LDQ96"/>
      <c r="LDR96"/>
      <c r="LDS96"/>
      <c r="LDT96"/>
      <c r="LDU96"/>
      <c r="LDV96"/>
      <c r="LDW96"/>
      <c r="LDX96"/>
      <c r="LDY96"/>
      <c r="LDZ96"/>
      <c r="LEA96"/>
      <c r="LEB96"/>
      <c r="LEC96"/>
      <c r="LED96"/>
      <c r="LEE96"/>
      <c r="LEF96"/>
      <c r="LEG96"/>
      <c r="LEH96"/>
      <c r="LEI96"/>
      <c r="LEJ96"/>
      <c r="LEK96"/>
      <c r="LEL96"/>
      <c r="LEM96"/>
      <c r="LEN96"/>
      <c r="LEO96"/>
      <c r="LEP96"/>
      <c r="LEQ96"/>
      <c r="LER96"/>
      <c r="LES96"/>
      <c r="LET96"/>
      <c r="LEU96"/>
      <c r="LEV96"/>
      <c r="LEW96"/>
      <c r="LEX96"/>
      <c r="LEY96"/>
      <c r="LEZ96"/>
      <c r="LFA96"/>
      <c r="LFB96"/>
      <c r="LFC96"/>
      <c r="LFD96"/>
      <c r="LFE96"/>
      <c r="LFF96"/>
      <c r="LFG96"/>
      <c r="LFH96"/>
      <c r="LFI96"/>
      <c r="LFJ96"/>
      <c r="LFK96"/>
      <c r="LFL96"/>
      <c r="LFM96"/>
      <c r="LFN96"/>
      <c r="LFO96"/>
      <c r="LFP96"/>
      <c r="LFQ96"/>
      <c r="LFR96"/>
      <c r="LFS96"/>
      <c r="LFT96"/>
      <c r="LFU96"/>
      <c r="LFV96"/>
      <c r="LFW96"/>
      <c r="LFX96"/>
      <c r="LFY96"/>
      <c r="LFZ96"/>
      <c r="LGA96"/>
      <c r="LGB96"/>
      <c r="LGC96"/>
      <c r="LGD96"/>
      <c r="LGE96"/>
      <c r="LGF96"/>
      <c r="LGG96"/>
      <c r="LGH96"/>
      <c r="LGI96"/>
      <c r="LGJ96"/>
      <c r="LGK96"/>
      <c r="LGL96"/>
      <c r="LGM96"/>
      <c r="LGN96"/>
      <c r="LGO96"/>
      <c r="LGP96"/>
      <c r="LGQ96"/>
      <c r="LGR96"/>
      <c r="LGS96"/>
      <c r="LGT96"/>
      <c r="LGU96"/>
      <c r="LGV96"/>
      <c r="LGW96"/>
      <c r="LGX96"/>
      <c r="LGY96"/>
      <c r="LGZ96"/>
      <c r="LHA96"/>
      <c r="LHB96"/>
      <c r="LHC96"/>
      <c r="LHD96"/>
      <c r="LHE96"/>
      <c r="LHF96"/>
      <c r="LHG96"/>
      <c r="LHH96"/>
      <c r="LHI96"/>
      <c r="LHJ96"/>
      <c r="LHK96"/>
      <c r="LHL96"/>
      <c r="LHM96"/>
      <c r="LHN96"/>
      <c r="LHO96"/>
      <c r="LHP96"/>
      <c r="LHQ96"/>
      <c r="LHR96"/>
      <c r="LHS96"/>
      <c r="LHT96"/>
      <c r="LHU96"/>
      <c r="LHV96"/>
      <c r="LHW96"/>
      <c r="LHX96"/>
      <c r="LHY96"/>
      <c r="LHZ96"/>
      <c r="LIA96"/>
      <c r="LIB96"/>
      <c r="LIC96"/>
      <c r="LID96"/>
      <c r="LIE96"/>
      <c r="LIF96"/>
      <c r="LIG96"/>
      <c r="LIH96"/>
      <c r="LII96"/>
      <c r="LIJ96"/>
      <c r="LIK96"/>
      <c r="LIL96"/>
      <c r="LIM96"/>
      <c r="LIN96"/>
      <c r="LIO96"/>
      <c r="LIP96"/>
      <c r="LIQ96"/>
      <c r="LIR96"/>
      <c r="LIS96"/>
      <c r="LIT96"/>
      <c r="LIU96"/>
      <c r="LIV96"/>
      <c r="LIW96"/>
      <c r="LIX96"/>
      <c r="LIY96"/>
      <c r="LIZ96"/>
      <c r="LJA96"/>
      <c r="LJB96"/>
      <c r="LJC96"/>
      <c r="LJD96"/>
      <c r="LJE96"/>
      <c r="LJF96"/>
      <c r="LJG96"/>
      <c r="LJH96"/>
      <c r="LJI96"/>
      <c r="LJJ96"/>
      <c r="LJK96"/>
      <c r="LJL96"/>
      <c r="LJM96"/>
      <c r="LJN96"/>
      <c r="LJO96"/>
      <c r="LJP96"/>
      <c r="LJQ96"/>
      <c r="LJR96"/>
      <c r="LJS96"/>
      <c r="LJT96"/>
      <c r="LJU96"/>
      <c r="LJV96"/>
      <c r="LJW96"/>
      <c r="LJX96"/>
      <c r="LJY96"/>
      <c r="LJZ96"/>
      <c r="LKA96"/>
      <c r="LKB96"/>
      <c r="LKC96"/>
      <c r="LKD96"/>
      <c r="LKE96"/>
      <c r="LKF96"/>
      <c r="LKG96"/>
      <c r="LKH96"/>
      <c r="LKI96"/>
      <c r="LKJ96"/>
      <c r="LKK96"/>
      <c r="LKL96"/>
      <c r="LKM96"/>
      <c r="LKN96"/>
      <c r="LKO96"/>
      <c r="LKP96"/>
      <c r="LKQ96"/>
      <c r="LKR96"/>
      <c r="LKS96"/>
      <c r="LKT96"/>
      <c r="LKU96"/>
      <c r="LKV96"/>
      <c r="LKW96"/>
      <c r="LKX96"/>
      <c r="LKY96"/>
      <c r="LKZ96"/>
      <c r="LLA96"/>
      <c r="LLB96"/>
      <c r="LLC96"/>
      <c r="LLD96"/>
      <c r="LLE96"/>
      <c r="LLF96"/>
      <c r="LLG96"/>
      <c r="LLH96"/>
      <c r="LLI96"/>
      <c r="LLJ96"/>
      <c r="LLK96"/>
      <c r="LLL96"/>
      <c r="LLM96"/>
      <c r="LLN96"/>
      <c r="LLO96"/>
      <c r="LLP96"/>
      <c r="LLQ96"/>
      <c r="LLR96"/>
      <c r="LLS96"/>
      <c r="LLT96"/>
      <c r="LLU96"/>
      <c r="LLV96"/>
      <c r="LLW96"/>
      <c r="LLX96"/>
      <c r="LLY96"/>
      <c r="LLZ96"/>
      <c r="LMA96"/>
      <c r="LMB96"/>
      <c r="LMC96"/>
      <c r="LMD96"/>
      <c r="LME96"/>
      <c r="LMF96"/>
      <c r="LMG96"/>
      <c r="LMH96"/>
      <c r="LMI96"/>
      <c r="LMJ96"/>
      <c r="LMK96"/>
      <c r="LML96"/>
      <c r="LMM96"/>
      <c r="LMN96"/>
      <c r="LMO96"/>
      <c r="LMP96"/>
      <c r="LMQ96"/>
      <c r="LMR96"/>
      <c r="LMS96"/>
      <c r="LMT96"/>
      <c r="LMU96"/>
      <c r="LMV96"/>
      <c r="LMW96"/>
      <c r="LMX96"/>
      <c r="LMY96"/>
      <c r="LMZ96"/>
      <c r="LNA96"/>
      <c r="LNB96"/>
      <c r="LNC96"/>
      <c r="LND96"/>
      <c r="LNE96"/>
      <c r="LNF96"/>
      <c r="LNG96"/>
      <c r="LNH96"/>
      <c r="LNI96"/>
      <c r="LNJ96"/>
      <c r="LNK96"/>
      <c r="LNL96"/>
      <c r="LNM96"/>
      <c r="LNN96"/>
      <c r="LNO96"/>
      <c r="LNP96"/>
      <c r="LNQ96"/>
      <c r="LNR96"/>
      <c r="LNS96"/>
      <c r="LNT96"/>
      <c r="LNU96"/>
      <c r="LNV96"/>
      <c r="LNW96"/>
      <c r="LNX96"/>
      <c r="LNY96"/>
      <c r="LNZ96"/>
      <c r="LOA96"/>
      <c r="LOB96"/>
      <c r="LOC96"/>
      <c r="LOD96"/>
      <c r="LOE96"/>
      <c r="LOF96"/>
      <c r="LOG96"/>
      <c r="LOH96"/>
      <c r="LOI96"/>
      <c r="LOJ96"/>
      <c r="LOK96"/>
      <c r="LOL96"/>
      <c r="LOM96"/>
      <c r="LON96"/>
      <c r="LOO96"/>
      <c r="LOP96"/>
      <c r="LOQ96"/>
      <c r="LOR96"/>
      <c r="LOS96"/>
      <c r="LOT96"/>
      <c r="LOU96"/>
      <c r="LOV96"/>
      <c r="LOW96"/>
      <c r="LOX96"/>
      <c r="LOY96"/>
      <c r="LOZ96"/>
      <c r="LPA96"/>
      <c r="LPB96"/>
      <c r="LPC96"/>
      <c r="LPD96"/>
      <c r="LPE96"/>
      <c r="LPF96"/>
      <c r="LPG96"/>
      <c r="LPH96"/>
      <c r="LPI96"/>
      <c r="LPJ96"/>
      <c r="LPK96"/>
      <c r="LPL96"/>
      <c r="LPM96"/>
      <c r="LPN96"/>
      <c r="LPO96"/>
      <c r="LPP96"/>
      <c r="LPQ96"/>
      <c r="LPR96"/>
      <c r="LPS96"/>
      <c r="LPT96"/>
      <c r="LPU96"/>
      <c r="LPV96"/>
      <c r="LPW96"/>
      <c r="LPX96"/>
      <c r="LPY96"/>
      <c r="LPZ96"/>
      <c r="LQA96"/>
      <c r="LQB96"/>
      <c r="LQC96"/>
      <c r="LQD96"/>
      <c r="LQE96"/>
      <c r="LQF96"/>
      <c r="LQG96"/>
      <c r="LQH96"/>
      <c r="LQI96"/>
      <c r="LQJ96"/>
      <c r="LQK96"/>
      <c r="LQL96"/>
      <c r="LQM96"/>
      <c r="LQN96"/>
      <c r="LQO96"/>
      <c r="LQP96"/>
      <c r="LQQ96"/>
      <c r="LQR96"/>
      <c r="LQS96"/>
      <c r="LQT96"/>
      <c r="LQU96"/>
      <c r="LQV96"/>
      <c r="LQW96"/>
      <c r="LQX96"/>
      <c r="LQY96"/>
      <c r="LQZ96"/>
      <c r="LRA96"/>
      <c r="LRB96"/>
      <c r="LRC96"/>
      <c r="LRD96"/>
      <c r="LRE96"/>
      <c r="LRF96"/>
      <c r="LRG96"/>
      <c r="LRH96"/>
      <c r="LRI96"/>
      <c r="LRJ96"/>
      <c r="LRK96"/>
      <c r="LRL96"/>
      <c r="LRM96"/>
      <c r="LRN96"/>
      <c r="LRO96"/>
      <c r="LRP96"/>
      <c r="LRQ96"/>
      <c r="LRR96"/>
      <c r="LRS96"/>
      <c r="LRT96"/>
      <c r="LRU96"/>
      <c r="LRV96"/>
      <c r="LRW96"/>
      <c r="LRX96"/>
      <c r="LRY96"/>
      <c r="LRZ96"/>
      <c r="LSA96"/>
      <c r="LSB96"/>
      <c r="LSC96"/>
      <c r="LSD96"/>
      <c r="LSE96"/>
      <c r="LSF96"/>
      <c r="LSG96"/>
      <c r="LSH96"/>
      <c r="LSI96"/>
      <c r="LSJ96"/>
      <c r="LSK96"/>
      <c r="LSL96"/>
      <c r="LSM96"/>
      <c r="LSN96"/>
      <c r="LSO96"/>
      <c r="LSP96"/>
      <c r="LSQ96"/>
      <c r="LSR96"/>
      <c r="LSS96"/>
      <c r="LST96"/>
      <c r="LSU96"/>
      <c r="LSV96"/>
      <c r="LSW96"/>
      <c r="LSX96"/>
      <c r="LSY96"/>
      <c r="LSZ96"/>
      <c r="LTA96"/>
      <c r="LTB96"/>
      <c r="LTC96"/>
      <c r="LTD96"/>
      <c r="LTE96"/>
      <c r="LTF96"/>
      <c r="LTG96"/>
      <c r="LTH96"/>
      <c r="LTI96"/>
      <c r="LTJ96"/>
      <c r="LTK96"/>
      <c r="LTL96"/>
      <c r="LTM96"/>
      <c r="LTN96"/>
      <c r="LTO96"/>
      <c r="LTP96"/>
      <c r="LTQ96"/>
      <c r="LTR96"/>
      <c r="LTS96"/>
      <c r="LTT96"/>
      <c r="LTU96"/>
      <c r="LTV96"/>
      <c r="LTW96"/>
      <c r="LTX96"/>
      <c r="LTY96"/>
      <c r="LTZ96"/>
      <c r="LUA96"/>
      <c r="LUB96"/>
      <c r="LUC96"/>
      <c r="LUD96"/>
      <c r="LUE96"/>
      <c r="LUF96"/>
      <c r="LUG96"/>
      <c r="LUH96"/>
      <c r="LUI96"/>
      <c r="LUJ96"/>
      <c r="LUK96"/>
      <c r="LUL96"/>
      <c r="LUM96"/>
      <c r="LUN96"/>
      <c r="LUO96"/>
      <c r="LUP96"/>
      <c r="LUQ96"/>
      <c r="LUR96"/>
      <c r="LUS96"/>
      <c r="LUT96"/>
      <c r="LUU96"/>
      <c r="LUV96"/>
      <c r="LUW96"/>
      <c r="LUX96"/>
      <c r="LUY96"/>
      <c r="LUZ96"/>
      <c r="LVA96"/>
      <c r="LVB96"/>
      <c r="LVC96"/>
      <c r="LVD96"/>
      <c r="LVE96"/>
      <c r="LVF96"/>
      <c r="LVG96"/>
      <c r="LVH96"/>
      <c r="LVI96"/>
      <c r="LVJ96"/>
      <c r="LVK96"/>
      <c r="LVL96"/>
      <c r="LVM96"/>
      <c r="LVN96"/>
      <c r="LVO96"/>
      <c r="LVP96"/>
      <c r="LVQ96"/>
      <c r="LVR96"/>
      <c r="LVS96"/>
      <c r="LVT96"/>
      <c r="LVU96"/>
      <c r="LVV96"/>
      <c r="LVW96"/>
      <c r="LVX96"/>
      <c r="LVY96"/>
      <c r="LVZ96"/>
      <c r="LWA96"/>
      <c r="LWB96"/>
      <c r="LWC96"/>
      <c r="LWD96"/>
      <c r="LWE96"/>
      <c r="LWF96"/>
      <c r="LWG96"/>
      <c r="LWH96"/>
      <c r="LWI96"/>
      <c r="LWJ96"/>
      <c r="LWK96"/>
      <c r="LWL96"/>
      <c r="LWM96"/>
      <c r="LWN96"/>
      <c r="LWO96"/>
      <c r="LWP96"/>
      <c r="LWQ96"/>
      <c r="LWR96"/>
      <c r="LWS96"/>
      <c r="LWT96"/>
      <c r="LWU96"/>
      <c r="LWV96"/>
      <c r="LWW96"/>
      <c r="LWX96"/>
      <c r="LWY96"/>
      <c r="LWZ96"/>
      <c r="LXA96"/>
      <c r="LXB96"/>
      <c r="LXC96"/>
      <c r="LXD96"/>
      <c r="LXE96"/>
      <c r="LXF96"/>
      <c r="LXG96"/>
      <c r="LXH96"/>
      <c r="LXI96"/>
      <c r="LXJ96"/>
      <c r="LXK96"/>
      <c r="LXL96"/>
      <c r="LXM96"/>
      <c r="LXN96"/>
      <c r="LXO96"/>
      <c r="LXP96"/>
      <c r="LXQ96"/>
      <c r="LXR96"/>
      <c r="LXS96"/>
      <c r="LXT96"/>
      <c r="LXU96"/>
      <c r="LXV96"/>
      <c r="LXW96"/>
      <c r="LXX96"/>
      <c r="LXY96"/>
      <c r="LXZ96"/>
      <c r="LYA96"/>
      <c r="LYB96"/>
      <c r="LYC96"/>
      <c r="LYD96"/>
      <c r="LYE96"/>
      <c r="LYF96"/>
      <c r="LYG96"/>
      <c r="LYH96"/>
      <c r="LYI96"/>
      <c r="LYJ96"/>
      <c r="LYK96"/>
      <c r="LYL96"/>
      <c r="LYM96"/>
      <c r="LYN96"/>
      <c r="LYO96"/>
      <c r="LYP96"/>
      <c r="LYQ96"/>
      <c r="LYR96"/>
      <c r="LYS96"/>
      <c r="LYT96"/>
      <c r="LYU96"/>
      <c r="LYV96"/>
      <c r="LYW96"/>
      <c r="LYX96"/>
      <c r="LYY96"/>
      <c r="LYZ96"/>
      <c r="LZA96"/>
      <c r="LZB96"/>
      <c r="LZC96"/>
      <c r="LZD96"/>
      <c r="LZE96"/>
      <c r="LZF96"/>
      <c r="LZG96"/>
      <c r="LZH96"/>
      <c r="LZI96"/>
      <c r="LZJ96"/>
      <c r="LZK96"/>
      <c r="LZL96"/>
      <c r="LZM96"/>
      <c r="LZN96"/>
      <c r="LZO96"/>
      <c r="LZP96"/>
      <c r="LZQ96"/>
      <c r="LZR96"/>
      <c r="LZS96"/>
      <c r="LZT96"/>
      <c r="LZU96"/>
      <c r="LZV96"/>
      <c r="LZW96"/>
      <c r="LZX96"/>
      <c r="LZY96"/>
      <c r="LZZ96"/>
      <c r="MAA96"/>
      <c r="MAB96"/>
      <c r="MAC96"/>
      <c r="MAD96"/>
      <c r="MAE96"/>
      <c r="MAF96"/>
      <c r="MAG96"/>
      <c r="MAH96"/>
      <c r="MAI96"/>
      <c r="MAJ96"/>
      <c r="MAK96"/>
      <c r="MAL96"/>
      <c r="MAM96"/>
      <c r="MAN96"/>
      <c r="MAO96"/>
      <c r="MAP96"/>
      <c r="MAQ96"/>
      <c r="MAR96"/>
      <c r="MAS96"/>
      <c r="MAT96"/>
      <c r="MAU96"/>
      <c r="MAV96"/>
      <c r="MAW96"/>
      <c r="MAX96"/>
      <c r="MAY96"/>
      <c r="MAZ96"/>
      <c r="MBA96"/>
      <c r="MBB96"/>
      <c r="MBC96"/>
      <c r="MBD96"/>
      <c r="MBE96"/>
      <c r="MBF96"/>
      <c r="MBG96"/>
      <c r="MBH96"/>
      <c r="MBI96"/>
      <c r="MBJ96"/>
      <c r="MBK96"/>
      <c r="MBL96"/>
      <c r="MBM96"/>
      <c r="MBN96"/>
      <c r="MBO96"/>
      <c r="MBP96"/>
      <c r="MBQ96"/>
      <c r="MBR96"/>
      <c r="MBS96"/>
      <c r="MBT96"/>
      <c r="MBU96"/>
      <c r="MBV96"/>
      <c r="MBW96"/>
      <c r="MBX96"/>
      <c r="MBY96"/>
      <c r="MBZ96"/>
      <c r="MCA96"/>
      <c r="MCB96"/>
      <c r="MCC96"/>
      <c r="MCD96"/>
      <c r="MCE96"/>
      <c r="MCF96"/>
      <c r="MCG96"/>
      <c r="MCH96"/>
      <c r="MCI96"/>
      <c r="MCJ96"/>
      <c r="MCK96"/>
      <c r="MCL96"/>
      <c r="MCM96"/>
      <c r="MCN96"/>
      <c r="MCO96"/>
      <c r="MCP96"/>
      <c r="MCQ96"/>
      <c r="MCR96"/>
      <c r="MCS96"/>
      <c r="MCT96"/>
      <c r="MCU96"/>
      <c r="MCV96"/>
      <c r="MCW96"/>
      <c r="MCX96"/>
      <c r="MCY96"/>
      <c r="MCZ96"/>
      <c r="MDA96"/>
      <c r="MDB96"/>
      <c r="MDC96"/>
      <c r="MDD96"/>
      <c r="MDE96"/>
      <c r="MDF96"/>
      <c r="MDG96"/>
      <c r="MDH96"/>
      <c r="MDI96"/>
      <c r="MDJ96"/>
      <c r="MDK96"/>
      <c r="MDL96"/>
      <c r="MDM96"/>
      <c r="MDN96"/>
      <c r="MDO96"/>
      <c r="MDP96"/>
      <c r="MDQ96"/>
      <c r="MDR96"/>
      <c r="MDS96"/>
      <c r="MDT96"/>
      <c r="MDU96"/>
      <c r="MDV96"/>
      <c r="MDW96"/>
      <c r="MDX96"/>
      <c r="MDY96"/>
      <c r="MDZ96"/>
      <c r="MEA96"/>
      <c r="MEB96"/>
      <c r="MEC96"/>
      <c r="MED96"/>
      <c r="MEE96"/>
      <c r="MEF96"/>
      <c r="MEG96"/>
      <c r="MEH96"/>
      <c r="MEI96"/>
      <c r="MEJ96"/>
      <c r="MEK96"/>
      <c r="MEL96"/>
      <c r="MEM96"/>
      <c r="MEN96"/>
      <c r="MEO96"/>
      <c r="MEP96"/>
      <c r="MEQ96"/>
      <c r="MER96"/>
      <c r="MES96"/>
      <c r="MET96"/>
      <c r="MEU96"/>
      <c r="MEV96"/>
      <c r="MEW96"/>
      <c r="MEX96"/>
      <c r="MEY96"/>
      <c r="MEZ96"/>
      <c r="MFA96"/>
      <c r="MFB96"/>
      <c r="MFC96"/>
      <c r="MFD96"/>
      <c r="MFE96"/>
      <c r="MFF96"/>
      <c r="MFG96"/>
      <c r="MFH96"/>
      <c r="MFI96"/>
      <c r="MFJ96"/>
      <c r="MFK96"/>
      <c r="MFL96"/>
      <c r="MFM96"/>
      <c r="MFN96"/>
      <c r="MFO96"/>
      <c r="MFP96"/>
      <c r="MFQ96"/>
      <c r="MFR96"/>
      <c r="MFS96"/>
      <c r="MFT96"/>
      <c r="MFU96"/>
      <c r="MFV96"/>
      <c r="MFW96"/>
      <c r="MFX96"/>
      <c r="MFY96"/>
      <c r="MFZ96"/>
      <c r="MGA96"/>
      <c r="MGB96"/>
      <c r="MGC96"/>
      <c r="MGD96"/>
      <c r="MGE96"/>
      <c r="MGF96"/>
      <c r="MGG96"/>
      <c r="MGH96"/>
      <c r="MGI96"/>
      <c r="MGJ96"/>
      <c r="MGK96"/>
      <c r="MGL96"/>
      <c r="MGM96"/>
      <c r="MGN96"/>
      <c r="MGO96"/>
      <c r="MGP96"/>
      <c r="MGQ96"/>
      <c r="MGR96"/>
      <c r="MGS96"/>
      <c r="MGT96"/>
      <c r="MGU96"/>
      <c r="MGV96"/>
      <c r="MGW96"/>
      <c r="MGX96"/>
      <c r="MGY96"/>
      <c r="MGZ96"/>
      <c r="MHA96"/>
      <c r="MHB96"/>
      <c r="MHC96"/>
      <c r="MHD96"/>
      <c r="MHE96"/>
      <c r="MHF96"/>
      <c r="MHG96"/>
      <c r="MHH96"/>
      <c r="MHI96"/>
      <c r="MHJ96"/>
      <c r="MHK96"/>
      <c r="MHL96"/>
      <c r="MHM96"/>
      <c r="MHN96"/>
      <c r="MHO96"/>
      <c r="MHP96"/>
      <c r="MHQ96"/>
      <c r="MHR96"/>
      <c r="MHS96"/>
      <c r="MHT96"/>
      <c r="MHU96"/>
      <c r="MHV96"/>
      <c r="MHW96"/>
      <c r="MHX96"/>
      <c r="MHY96"/>
      <c r="MHZ96"/>
      <c r="MIA96"/>
      <c r="MIB96"/>
      <c r="MIC96"/>
      <c r="MID96"/>
      <c r="MIE96"/>
      <c r="MIF96"/>
      <c r="MIG96"/>
      <c r="MIH96"/>
      <c r="MII96"/>
      <c r="MIJ96"/>
      <c r="MIK96"/>
      <c r="MIL96"/>
      <c r="MIM96"/>
      <c r="MIN96"/>
      <c r="MIO96"/>
      <c r="MIP96"/>
      <c r="MIQ96"/>
      <c r="MIR96"/>
      <c r="MIS96"/>
      <c r="MIT96"/>
      <c r="MIU96"/>
      <c r="MIV96"/>
      <c r="MIW96"/>
      <c r="MIX96"/>
      <c r="MIY96"/>
      <c r="MIZ96"/>
      <c r="MJA96"/>
      <c r="MJB96"/>
      <c r="MJC96"/>
      <c r="MJD96"/>
      <c r="MJE96"/>
      <c r="MJF96"/>
      <c r="MJG96"/>
      <c r="MJH96"/>
      <c r="MJI96"/>
      <c r="MJJ96"/>
      <c r="MJK96"/>
      <c r="MJL96"/>
      <c r="MJM96"/>
      <c r="MJN96"/>
      <c r="MJO96"/>
      <c r="MJP96"/>
      <c r="MJQ96"/>
      <c r="MJR96"/>
      <c r="MJS96"/>
      <c r="MJT96"/>
      <c r="MJU96"/>
      <c r="MJV96"/>
      <c r="MJW96"/>
      <c r="MJX96"/>
      <c r="MJY96"/>
      <c r="MJZ96"/>
      <c r="MKA96"/>
      <c r="MKB96"/>
      <c r="MKC96"/>
      <c r="MKD96"/>
      <c r="MKE96"/>
      <c r="MKF96"/>
      <c r="MKG96"/>
      <c r="MKH96"/>
      <c r="MKI96"/>
      <c r="MKJ96"/>
      <c r="MKK96"/>
      <c r="MKL96"/>
      <c r="MKM96"/>
      <c r="MKN96"/>
      <c r="MKO96"/>
      <c r="MKP96"/>
      <c r="MKQ96"/>
      <c r="MKR96"/>
      <c r="MKS96"/>
      <c r="MKT96"/>
      <c r="MKU96"/>
      <c r="MKV96"/>
      <c r="MKW96"/>
      <c r="MKX96"/>
      <c r="MKY96"/>
      <c r="MKZ96"/>
      <c r="MLA96"/>
      <c r="MLB96"/>
      <c r="MLC96"/>
      <c r="MLD96"/>
      <c r="MLE96"/>
      <c r="MLF96"/>
      <c r="MLG96"/>
      <c r="MLH96"/>
      <c r="MLI96"/>
      <c r="MLJ96"/>
      <c r="MLK96"/>
      <c r="MLL96"/>
      <c r="MLM96"/>
      <c r="MLN96"/>
      <c r="MLO96"/>
      <c r="MLP96"/>
      <c r="MLQ96"/>
      <c r="MLR96"/>
      <c r="MLS96"/>
      <c r="MLT96"/>
      <c r="MLU96"/>
      <c r="MLV96"/>
      <c r="MLW96"/>
      <c r="MLX96"/>
      <c r="MLY96"/>
      <c r="MLZ96"/>
      <c r="MMA96"/>
      <c r="MMB96"/>
      <c r="MMC96"/>
      <c r="MMD96"/>
      <c r="MME96"/>
      <c r="MMF96"/>
      <c r="MMG96"/>
      <c r="MMH96"/>
      <c r="MMI96"/>
      <c r="MMJ96"/>
      <c r="MMK96"/>
      <c r="MML96"/>
      <c r="MMM96"/>
      <c r="MMN96"/>
      <c r="MMO96"/>
      <c r="MMP96"/>
      <c r="MMQ96"/>
      <c r="MMR96"/>
      <c r="MMS96"/>
      <c r="MMT96"/>
      <c r="MMU96"/>
      <c r="MMV96"/>
      <c r="MMW96"/>
      <c r="MMX96"/>
      <c r="MMY96"/>
      <c r="MMZ96"/>
      <c r="MNA96"/>
      <c r="MNB96"/>
      <c r="MNC96"/>
      <c r="MND96"/>
      <c r="MNE96"/>
      <c r="MNF96"/>
      <c r="MNG96"/>
      <c r="MNH96"/>
      <c r="MNI96"/>
      <c r="MNJ96"/>
      <c r="MNK96"/>
      <c r="MNL96"/>
      <c r="MNM96"/>
      <c r="MNN96"/>
      <c r="MNO96"/>
      <c r="MNP96"/>
      <c r="MNQ96"/>
      <c r="MNR96"/>
      <c r="MNS96"/>
      <c r="MNT96"/>
      <c r="MNU96"/>
      <c r="MNV96"/>
      <c r="MNW96"/>
      <c r="MNX96"/>
      <c r="MNY96"/>
      <c r="MNZ96"/>
      <c r="MOA96"/>
      <c r="MOB96"/>
      <c r="MOC96"/>
      <c r="MOD96"/>
      <c r="MOE96"/>
      <c r="MOF96"/>
      <c r="MOG96"/>
      <c r="MOH96"/>
      <c r="MOI96"/>
      <c r="MOJ96"/>
      <c r="MOK96"/>
      <c r="MOL96"/>
      <c r="MOM96"/>
      <c r="MON96"/>
      <c r="MOO96"/>
      <c r="MOP96"/>
      <c r="MOQ96"/>
      <c r="MOR96"/>
      <c r="MOS96"/>
      <c r="MOT96"/>
      <c r="MOU96"/>
      <c r="MOV96"/>
      <c r="MOW96"/>
      <c r="MOX96"/>
      <c r="MOY96"/>
      <c r="MOZ96"/>
      <c r="MPA96"/>
      <c r="MPB96"/>
      <c r="MPC96"/>
      <c r="MPD96"/>
      <c r="MPE96"/>
      <c r="MPF96"/>
      <c r="MPG96"/>
      <c r="MPH96"/>
      <c r="MPI96"/>
      <c r="MPJ96"/>
      <c r="MPK96"/>
      <c r="MPL96"/>
      <c r="MPM96"/>
      <c r="MPN96"/>
      <c r="MPO96"/>
      <c r="MPP96"/>
      <c r="MPQ96"/>
      <c r="MPR96"/>
      <c r="MPS96"/>
      <c r="MPT96"/>
      <c r="MPU96"/>
      <c r="MPV96"/>
      <c r="MPW96"/>
      <c r="MPX96"/>
      <c r="MPY96"/>
      <c r="MPZ96"/>
      <c r="MQA96"/>
      <c r="MQB96"/>
      <c r="MQC96"/>
      <c r="MQD96"/>
      <c r="MQE96"/>
      <c r="MQF96"/>
      <c r="MQG96"/>
      <c r="MQH96"/>
      <c r="MQI96"/>
      <c r="MQJ96"/>
      <c r="MQK96"/>
      <c r="MQL96"/>
      <c r="MQM96"/>
      <c r="MQN96"/>
      <c r="MQO96"/>
      <c r="MQP96"/>
      <c r="MQQ96"/>
      <c r="MQR96"/>
      <c r="MQS96"/>
      <c r="MQT96"/>
      <c r="MQU96"/>
      <c r="MQV96"/>
      <c r="MQW96"/>
      <c r="MQX96"/>
      <c r="MQY96"/>
      <c r="MQZ96"/>
      <c r="MRA96"/>
      <c r="MRB96"/>
      <c r="MRC96"/>
      <c r="MRD96"/>
      <c r="MRE96"/>
      <c r="MRF96"/>
      <c r="MRG96"/>
      <c r="MRH96"/>
      <c r="MRI96"/>
      <c r="MRJ96"/>
      <c r="MRK96"/>
      <c r="MRL96"/>
      <c r="MRM96"/>
      <c r="MRN96"/>
      <c r="MRO96"/>
      <c r="MRP96"/>
      <c r="MRQ96"/>
      <c r="MRR96"/>
      <c r="MRS96"/>
      <c r="MRT96"/>
      <c r="MRU96"/>
      <c r="MRV96"/>
      <c r="MRW96"/>
      <c r="MRX96"/>
      <c r="MRY96"/>
      <c r="MRZ96"/>
      <c r="MSA96"/>
      <c r="MSB96"/>
      <c r="MSC96"/>
      <c r="MSD96"/>
      <c r="MSE96"/>
      <c r="MSF96"/>
      <c r="MSG96"/>
      <c r="MSH96"/>
      <c r="MSI96"/>
      <c r="MSJ96"/>
      <c r="MSK96"/>
      <c r="MSL96"/>
      <c r="MSM96"/>
      <c r="MSN96"/>
      <c r="MSO96"/>
      <c r="MSP96"/>
      <c r="MSQ96"/>
      <c r="MSR96"/>
      <c r="MSS96"/>
      <c r="MST96"/>
      <c r="MSU96"/>
      <c r="MSV96"/>
      <c r="MSW96"/>
      <c r="MSX96"/>
      <c r="MSY96"/>
      <c r="MSZ96"/>
      <c r="MTA96"/>
      <c r="MTB96"/>
      <c r="MTC96"/>
      <c r="MTD96"/>
      <c r="MTE96"/>
      <c r="MTF96"/>
      <c r="MTG96"/>
      <c r="MTH96"/>
      <c r="MTI96"/>
      <c r="MTJ96"/>
      <c r="MTK96"/>
      <c r="MTL96"/>
      <c r="MTM96"/>
      <c r="MTN96"/>
      <c r="MTO96"/>
      <c r="MTP96"/>
      <c r="MTQ96"/>
      <c r="MTR96"/>
      <c r="MTS96"/>
      <c r="MTT96"/>
      <c r="MTU96"/>
      <c r="MTV96"/>
      <c r="MTW96"/>
      <c r="MTX96"/>
      <c r="MTY96"/>
      <c r="MTZ96"/>
      <c r="MUA96"/>
      <c r="MUB96"/>
      <c r="MUC96"/>
      <c r="MUD96"/>
      <c r="MUE96"/>
      <c r="MUF96"/>
      <c r="MUG96"/>
      <c r="MUH96"/>
      <c r="MUI96"/>
      <c r="MUJ96"/>
      <c r="MUK96"/>
      <c r="MUL96"/>
      <c r="MUM96"/>
      <c r="MUN96"/>
      <c r="MUO96"/>
      <c r="MUP96"/>
      <c r="MUQ96"/>
      <c r="MUR96"/>
      <c r="MUS96"/>
      <c r="MUT96"/>
      <c r="MUU96"/>
      <c r="MUV96"/>
      <c r="MUW96"/>
      <c r="MUX96"/>
      <c r="MUY96"/>
      <c r="MUZ96"/>
      <c r="MVA96"/>
      <c r="MVB96"/>
      <c r="MVC96"/>
      <c r="MVD96"/>
      <c r="MVE96"/>
      <c r="MVF96"/>
      <c r="MVG96"/>
      <c r="MVH96"/>
      <c r="MVI96"/>
      <c r="MVJ96"/>
      <c r="MVK96"/>
      <c r="MVL96"/>
      <c r="MVM96"/>
      <c r="MVN96"/>
      <c r="MVO96"/>
      <c r="MVP96"/>
      <c r="MVQ96"/>
      <c r="MVR96"/>
      <c r="MVS96"/>
      <c r="MVT96"/>
      <c r="MVU96"/>
      <c r="MVV96"/>
      <c r="MVW96"/>
      <c r="MVX96"/>
      <c r="MVY96"/>
      <c r="MVZ96"/>
      <c r="MWA96"/>
      <c r="MWB96"/>
      <c r="MWC96"/>
      <c r="MWD96"/>
      <c r="MWE96"/>
      <c r="MWF96"/>
      <c r="MWG96"/>
      <c r="MWH96"/>
      <c r="MWI96"/>
      <c r="MWJ96"/>
      <c r="MWK96"/>
      <c r="MWL96"/>
      <c r="MWM96"/>
      <c r="MWN96"/>
      <c r="MWO96"/>
      <c r="MWP96"/>
      <c r="MWQ96"/>
      <c r="MWR96"/>
      <c r="MWS96"/>
      <c r="MWT96"/>
      <c r="MWU96"/>
      <c r="MWV96"/>
      <c r="MWW96"/>
      <c r="MWX96"/>
      <c r="MWY96"/>
      <c r="MWZ96"/>
      <c r="MXA96"/>
      <c r="MXB96"/>
      <c r="MXC96"/>
      <c r="MXD96"/>
      <c r="MXE96"/>
      <c r="MXF96"/>
      <c r="MXG96"/>
      <c r="MXH96"/>
      <c r="MXI96"/>
      <c r="MXJ96"/>
      <c r="MXK96"/>
      <c r="MXL96"/>
      <c r="MXM96"/>
      <c r="MXN96"/>
      <c r="MXO96"/>
      <c r="MXP96"/>
      <c r="MXQ96"/>
      <c r="MXR96"/>
      <c r="MXS96"/>
      <c r="MXT96"/>
      <c r="MXU96"/>
      <c r="MXV96"/>
      <c r="MXW96"/>
      <c r="MXX96"/>
      <c r="MXY96"/>
      <c r="MXZ96"/>
      <c r="MYA96"/>
      <c r="MYB96"/>
      <c r="MYC96"/>
      <c r="MYD96"/>
      <c r="MYE96"/>
      <c r="MYF96"/>
      <c r="MYG96"/>
      <c r="MYH96"/>
      <c r="MYI96"/>
      <c r="MYJ96"/>
      <c r="MYK96"/>
      <c r="MYL96"/>
      <c r="MYM96"/>
      <c r="MYN96"/>
      <c r="MYO96"/>
      <c r="MYP96"/>
      <c r="MYQ96"/>
      <c r="MYR96"/>
      <c r="MYS96"/>
      <c r="MYT96"/>
      <c r="MYU96"/>
      <c r="MYV96"/>
      <c r="MYW96"/>
      <c r="MYX96"/>
      <c r="MYY96"/>
      <c r="MYZ96"/>
      <c r="MZA96"/>
      <c r="MZB96"/>
      <c r="MZC96"/>
      <c r="MZD96"/>
      <c r="MZE96"/>
      <c r="MZF96"/>
      <c r="MZG96"/>
      <c r="MZH96"/>
      <c r="MZI96"/>
      <c r="MZJ96"/>
      <c r="MZK96"/>
      <c r="MZL96"/>
      <c r="MZM96"/>
      <c r="MZN96"/>
      <c r="MZO96"/>
      <c r="MZP96"/>
      <c r="MZQ96"/>
      <c r="MZR96"/>
      <c r="MZS96"/>
      <c r="MZT96"/>
      <c r="MZU96"/>
      <c r="MZV96"/>
      <c r="MZW96"/>
      <c r="MZX96"/>
      <c r="MZY96"/>
      <c r="MZZ96"/>
      <c r="NAA96"/>
      <c r="NAB96"/>
      <c r="NAC96"/>
      <c r="NAD96"/>
      <c r="NAE96"/>
      <c r="NAF96"/>
      <c r="NAG96"/>
      <c r="NAH96"/>
      <c r="NAI96"/>
      <c r="NAJ96"/>
      <c r="NAK96"/>
      <c r="NAL96"/>
      <c r="NAM96"/>
      <c r="NAN96"/>
      <c r="NAO96"/>
      <c r="NAP96"/>
      <c r="NAQ96"/>
      <c r="NAR96"/>
      <c r="NAS96"/>
      <c r="NAT96"/>
      <c r="NAU96"/>
      <c r="NAV96"/>
      <c r="NAW96"/>
      <c r="NAX96"/>
      <c r="NAY96"/>
      <c r="NAZ96"/>
      <c r="NBA96"/>
      <c r="NBB96"/>
      <c r="NBC96"/>
      <c r="NBD96"/>
      <c r="NBE96"/>
      <c r="NBF96"/>
      <c r="NBG96"/>
      <c r="NBH96"/>
      <c r="NBI96"/>
      <c r="NBJ96"/>
      <c r="NBK96"/>
      <c r="NBL96"/>
      <c r="NBM96"/>
      <c r="NBN96"/>
      <c r="NBO96"/>
      <c r="NBP96"/>
      <c r="NBQ96"/>
      <c r="NBR96"/>
      <c r="NBS96"/>
      <c r="NBT96"/>
      <c r="NBU96"/>
      <c r="NBV96"/>
      <c r="NBW96"/>
      <c r="NBX96"/>
      <c r="NBY96"/>
      <c r="NBZ96"/>
      <c r="NCA96"/>
      <c r="NCB96"/>
      <c r="NCC96"/>
      <c r="NCD96"/>
      <c r="NCE96"/>
      <c r="NCF96"/>
      <c r="NCG96"/>
      <c r="NCH96"/>
      <c r="NCI96"/>
      <c r="NCJ96"/>
      <c r="NCK96"/>
      <c r="NCL96"/>
      <c r="NCM96"/>
      <c r="NCN96"/>
      <c r="NCO96"/>
      <c r="NCP96"/>
      <c r="NCQ96"/>
      <c r="NCR96"/>
      <c r="NCS96"/>
      <c r="NCT96"/>
      <c r="NCU96"/>
      <c r="NCV96"/>
      <c r="NCW96"/>
      <c r="NCX96"/>
      <c r="NCY96"/>
      <c r="NCZ96"/>
      <c r="NDA96"/>
      <c r="NDB96"/>
      <c r="NDC96"/>
      <c r="NDD96"/>
      <c r="NDE96"/>
      <c r="NDF96"/>
      <c r="NDG96"/>
      <c r="NDH96"/>
      <c r="NDI96"/>
      <c r="NDJ96"/>
      <c r="NDK96"/>
      <c r="NDL96"/>
      <c r="NDM96"/>
      <c r="NDN96"/>
      <c r="NDO96"/>
      <c r="NDP96"/>
      <c r="NDQ96"/>
      <c r="NDR96"/>
      <c r="NDS96"/>
      <c r="NDT96"/>
      <c r="NDU96"/>
      <c r="NDV96"/>
      <c r="NDW96"/>
      <c r="NDX96"/>
      <c r="NDY96"/>
      <c r="NDZ96"/>
      <c r="NEA96"/>
      <c r="NEB96"/>
      <c r="NEC96"/>
      <c r="NED96"/>
      <c r="NEE96"/>
      <c r="NEF96"/>
      <c r="NEG96"/>
      <c r="NEH96"/>
      <c r="NEI96"/>
      <c r="NEJ96"/>
      <c r="NEK96"/>
      <c r="NEL96"/>
      <c r="NEM96"/>
      <c r="NEN96"/>
      <c r="NEO96"/>
      <c r="NEP96"/>
      <c r="NEQ96"/>
      <c r="NER96"/>
      <c r="NES96"/>
      <c r="NET96"/>
      <c r="NEU96"/>
      <c r="NEV96"/>
      <c r="NEW96"/>
      <c r="NEX96"/>
      <c r="NEY96"/>
      <c r="NEZ96"/>
      <c r="NFA96"/>
      <c r="NFB96"/>
      <c r="NFC96"/>
      <c r="NFD96"/>
      <c r="NFE96"/>
      <c r="NFF96"/>
      <c r="NFG96"/>
      <c r="NFH96"/>
      <c r="NFI96"/>
      <c r="NFJ96"/>
      <c r="NFK96"/>
      <c r="NFL96"/>
      <c r="NFM96"/>
      <c r="NFN96"/>
      <c r="NFO96"/>
      <c r="NFP96"/>
      <c r="NFQ96"/>
      <c r="NFR96"/>
      <c r="NFS96"/>
      <c r="NFT96"/>
      <c r="NFU96"/>
      <c r="NFV96"/>
      <c r="NFW96"/>
      <c r="NFX96"/>
      <c r="NFY96"/>
      <c r="NFZ96"/>
      <c r="NGA96"/>
      <c r="NGB96"/>
      <c r="NGC96"/>
      <c r="NGD96"/>
      <c r="NGE96"/>
      <c r="NGF96"/>
      <c r="NGG96"/>
      <c r="NGH96"/>
      <c r="NGI96"/>
      <c r="NGJ96"/>
      <c r="NGK96"/>
      <c r="NGL96"/>
      <c r="NGM96"/>
      <c r="NGN96"/>
      <c r="NGO96"/>
      <c r="NGP96"/>
      <c r="NGQ96"/>
      <c r="NGR96"/>
      <c r="NGS96"/>
      <c r="NGT96"/>
      <c r="NGU96"/>
      <c r="NGV96"/>
      <c r="NGW96"/>
      <c r="NGX96"/>
      <c r="NGY96"/>
      <c r="NGZ96"/>
      <c r="NHA96"/>
      <c r="NHB96"/>
      <c r="NHC96"/>
      <c r="NHD96"/>
      <c r="NHE96"/>
      <c r="NHF96"/>
      <c r="NHG96"/>
      <c r="NHH96"/>
      <c r="NHI96"/>
      <c r="NHJ96"/>
      <c r="NHK96"/>
      <c r="NHL96"/>
      <c r="NHM96"/>
      <c r="NHN96"/>
      <c r="NHO96"/>
      <c r="NHP96"/>
      <c r="NHQ96"/>
      <c r="NHR96"/>
      <c r="NHS96"/>
      <c r="NHT96"/>
      <c r="NHU96"/>
      <c r="NHV96"/>
      <c r="NHW96"/>
      <c r="NHX96"/>
      <c r="NHY96"/>
      <c r="NHZ96"/>
      <c r="NIA96"/>
      <c r="NIB96"/>
      <c r="NIC96"/>
      <c r="NID96"/>
      <c r="NIE96"/>
      <c r="NIF96"/>
      <c r="NIG96"/>
      <c r="NIH96"/>
      <c r="NII96"/>
      <c r="NIJ96"/>
      <c r="NIK96"/>
      <c r="NIL96"/>
      <c r="NIM96"/>
      <c r="NIN96"/>
      <c r="NIO96"/>
      <c r="NIP96"/>
      <c r="NIQ96"/>
      <c r="NIR96"/>
      <c r="NIS96"/>
      <c r="NIT96"/>
      <c r="NIU96"/>
      <c r="NIV96"/>
      <c r="NIW96"/>
      <c r="NIX96"/>
      <c r="NIY96"/>
      <c r="NIZ96"/>
      <c r="NJA96"/>
      <c r="NJB96"/>
      <c r="NJC96"/>
      <c r="NJD96"/>
      <c r="NJE96"/>
      <c r="NJF96"/>
      <c r="NJG96"/>
      <c r="NJH96"/>
      <c r="NJI96"/>
      <c r="NJJ96"/>
      <c r="NJK96"/>
      <c r="NJL96"/>
      <c r="NJM96"/>
      <c r="NJN96"/>
      <c r="NJO96"/>
      <c r="NJP96"/>
      <c r="NJQ96"/>
      <c r="NJR96"/>
      <c r="NJS96"/>
      <c r="NJT96"/>
      <c r="NJU96"/>
      <c r="NJV96"/>
      <c r="NJW96"/>
      <c r="NJX96"/>
      <c r="NJY96"/>
      <c r="NJZ96"/>
      <c r="NKA96"/>
      <c r="NKB96"/>
      <c r="NKC96"/>
      <c r="NKD96"/>
      <c r="NKE96"/>
      <c r="NKF96"/>
      <c r="NKG96"/>
      <c r="NKH96"/>
      <c r="NKI96"/>
      <c r="NKJ96"/>
      <c r="NKK96"/>
      <c r="NKL96"/>
      <c r="NKM96"/>
      <c r="NKN96"/>
      <c r="NKO96"/>
      <c r="NKP96"/>
      <c r="NKQ96"/>
      <c r="NKR96"/>
      <c r="NKS96"/>
      <c r="NKT96"/>
      <c r="NKU96"/>
      <c r="NKV96"/>
      <c r="NKW96"/>
      <c r="NKX96"/>
      <c r="NKY96"/>
      <c r="NKZ96"/>
      <c r="NLA96"/>
      <c r="NLB96"/>
      <c r="NLC96"/>
      <c r="NLD96"/>
      <c r="NLE96"/>
      <c r="NLF96"/>
      <c r="NLG96"/>
      <c r="NLH96"/>
      <c r="NLI96"/>
      <c r="NLJ96"/>
      <c r="NLK96"/>
      <c r="NLL96"/>
      <c r="NLM96"/>
      <c r="NLN96"/>
      <c r="NLO96"/>
      <c r="NLP96"/>
      <c r="NLQ96"/>
      <c r="NLR96"/>
      <c r="NLS96"/>
      <c r="NLT96"/>
      <c r="NLU96"/>
      <c r="NLV96"/>
      <c r="NLW96"/>
      <c r="NLX96"/>
      <c r="NLY96"/>
      <c r="NLZ96"/>
      <c r="NMA96"/>
      <c r="NMB96"/>
      <c r="NMC96"/>
      <c r="NMD96"/>
      <c r="NME96"/>
      <c r="NMF96"/>
      <c r="NMG96"/>
      <c r="NMH96"/>
      <c r="NMI96"/>
      <c r="NMJ96"/>
      <c r="NMK96"/>
      <c r="NML96"/>
      <c r="NMM96"/>
      <c r="NMN96"/>
      <c r="NMO96"/>
      <c r="NMP96"/>
      <c r="NMQ96"/>
      <c r="NMR96"/>
      <c r="NMS96"/>
      <c r="NMT96"/>
      <c r="NMU96"/>
      <c r="NMV96"/>
      <c r="NMW96"/>
      <c r="NMX96"/>
      <c r="NMY96"/>
      <c r="NMZ96"/>
      <c r="NNA96"/>
      <c r="NNB96"/>
      <c r="NNC96"/>
      <c r="NND96"/>
      <c r="NNE96"/>
      <c r="NNF96"/>
      <c r="NNG96"/>
      <c r="NNH96"/>
      <c r="NNI96"/>
      <c r="NNJ96"/>
      <c r="NNK96"/>
      <c r="NNL96"/>
      <c r="NNM96"/>
      <c r="NNN96"/>
      <c r="NNO96"/>
      <c r="NNP96"/>
      <c r="NNQ96"/>
      <c r="NNR96"/>
      <c r="NNS96"/>
      <c r="NNT96"/>
      <c r="NNU96"/>
      <c r="NNV96"/>
      <c r="NNW96"/>
      <c r="NNX96"/>
      <c r="NNY96"/>
      <c r="NNZ96"/>
      <c r="NOA96"/>
      <c r="NOB96"/>
      <c r="NOC96"/>
      <c r="NOD96"/>
      <c r="NOE96"/>
      <c r="NOF96"/>
      <c r="NOG96"/>
      <c r="NOH96"/>
      <c r="NOI96"/>
      <c r="NOJ96"/>
      <c r="NOK96"/>
      <c r="NOL96"/>
      <c r="NOM96"/>
      <c r="NON96"/>
      <c r="NOO96"/>
      <c r="NOP96"/>
      <c r="NOQ96"/>
      <c r="NOR96"/>
      <c r="NOS96"/>
      <c r="NOT96"/>
      <c r="NOU96"/>
      <c r="NOV96"/>
      <c r="NOW96"/>
      <c r="NOX96"/>
      <c r="NOY96"/>
      <c r="NOZ96"/>
      <c r="NPA96"/>
      <c r="NPB96"/>
      <c r="NPC96"/>
      <c r="NPD96"/>
      <c r="NPE96"/>
      <c r="NPF96"/>
      <c r="NPG96"/>
      <c r="NPH96"/>
      <c r="NPI96"/>
      <c r="NPJ96"/>
      <c r="NPK96"/>
      <c r="NPL96"/>
      <c r="NPM96"/>
      <c r="NPN96"/>
      <c r="NPO96"/>
      <c r="NPP96"/>
      <c r="NPQ96"/>
      <c r="NPR96"/>
      <c r="NPS96"/>
      <c r="NPT96"/>
      <c r="NPU96"/>
      <c r="NPV96"/>
      <c r="NPW96"/>
      <c r="NPX96"/>
      <c r="NPY96"/>
      <c r="NPZ96"/>
      <c r="NQA96"/>
      <c r="NQB96"/>
      <c r="NQC96"/>
      <c r="NQD96"/>
      <c r="NQE96"/>
      <c r="NQF96"/>
      <c r="NQG96"/>
      <c r="NQH96"/>
      <c r="NQI96"/>
      <c r="NQJ96"/>
      <c r="NQK96"/>
      <c r="NQL96"/>
      <c r="NQM96"/>
      <c r="NQN96"/>
      <c r="NQO96"/>
      <c r="NQP96"/>
      <c r="NQQ96"/>
      <c r="NQR96"/>
      <c r="NQS96"/>
      <c r="NQT96"/>
      <c r="NQU96"/>
      <c r="NQV96"/>
      <c r="NQW96"/>
      <c r="NQX96"/>
      <c r="NQY96"/>
      <c r="NQZ96"/>
      <c r="NRA96"/>
      <c r="NRB96"/>
      <c r="NRC96"/>
      <c r="NRD96"/>
      <c r="NRE96"/>
      <c r="NRF96"/>
      <c r="NRG96"/>
      <c r="NRH96"/>
      <c r="NRI96"/>
      <c r="NRJ96"/>
      <c r="NRK96"/>
      <c r="NRL96"/>
      <c r="NRM96"/>
      <c r="NRN96"/>
      <c r="NRO96"/>
      <c r="NRP96"/>
      <c r="NRQ96"/>
      <c r="NRR96"/>
      <c r="NRS96"/>
      <c r="NRT96"/>
      <c r="NRU96"/>
      <c r="NRV96"/>
      <c r="NRW96"/>
      <c r="NRX96"/>
      <c r="NRY96"/>
      <c r="NRZ96"/>
      <c r="NSA96"/>
      <c r="NSB96"/>
      <c r="NSC96"/>
      <c r="NSD96"/>
      <c r="NSE96"/>
      <c r="NSF96"/>
      <c r="NSG96"/>
      <c r="NSH96"/>
      <c r="NSI96"/>
      <c r="NSJ96"/>
      <c r="NSK96"/>
      <c r="NSL96"/>
      <c r="NSM96"/>
      <c r="NSN96"/>
      <c r="NSO96"/>
      <c r="NSP96"/>
      <c r="NSQ96"/>
      <c r="NSR96"/>
      <c r="NSS96"/>
      <c r="NST96"/>
      <c r="NSU96"/>
      <c r="NSV96"/>
      <c r="NSW96"/>
      <c r="NSX96"/>
      <c r="NSY96"/>
      <c r="NSZ96"/>
      <c r="NTA96"/>
      <c r="NTB96"/>
      <c r="NTC96"/>
      <c r="NTD96"/>
      <c r="NTE96"/>
      <c r="NTF96"/>
      <c r="NTG96"/>
      <c r="NTH96"/>
      <c r="NTI96"/>
      <c r="NTJ96"/>
      <c r="NTK96"/>
      <c r="NTL96"/>
      <c r="NTM96"/>
      <c r="NTN96"/>
      <c r="NTO96"/>
      <c r="NTP96"/>
      <c r="NTQ96"/>
      <c r="NTR96"/>
      <c r="NTS96"/>
      <c r="NTT96"/>
      <c r="NTU96"/>
      <c r="NTV96"/>
      <c r="NTW96"/>
      <c r="NTX96"/>
      <c r="NTY96"/>
      <c r="NTZ96"/>
      <c r="NUA96"/>
      <c r="NUB96"/>
      <c r="NUC96"/>
      <c r="NUD96"/>
      <c r="NUE96"/>
      <c r="NUF96"/>
      <c r="NUG96"/>
      <c r="NUH96"/>
      <c r="NUI96"/>
      <c r="NUJ96"/>
      <c r="NUK96"/>
      <c r="NUL96"/>
      <c r="NUM96"/>
      <c r="NUN96"/>
      <c r="NUO96"/>
      <c r="NUP96"/>
      <c r="NUQ96"/>
      <c r="NUR96"/>
      <c r="NUS96"/>
      <c r="NUT96"/>
      <c r="NUU96"/>
      <c r="NUV96"/>
      <c r="NUW96"/>
      <c r="NUX96"/>
      <c r="NUY96"/>
      <c r="NUZ96"/>
      <c r="NVA96"/>
      <c r="NVB96"/>
      <c r="NVC96"/>
      <c r="NVD96"/>
      <c r="NVE96"/>
      <c r="NVF96"/>
      <c r="NVG96"/>
      <c r="NVH96"/>
      <c r="NVI96"/>
      <c r="NVJ96"/>
      <c r="NVK96"/>
      <c r="NVL96"/>
      <c r="NVM96"/>
      <c r="NVN96"/>
      <c r="NVO96"/>
      <c r="NVP96"/>
      <c r="NVQ96"/>
      <c r="NVR96"/>
      <c r="NVS96"/>
      <c r="NVT96"/>
      <c r="NVU96"/>
      <c r="NVV96"/>
      <c r="NVW96"/>
      <c r="NVX96"/>
      <c r="NVY96"/>
      <c r="NVZ96"/>
      <c r="NWA96"/>
      <c r="NWB96"/>
      <c r="NWC96"/>
      <c r="NWD96"/>
      <c r="NWE96"/>
      <c r="NWF96"/>
      <c r="NWG96"/>
      <c r="NWH96"/>
      <c r="NWI96"/>
      <c r="NWJ96"/>
      <c r="NWK96"/>
      <c r="NWL96"/>
      <c r="NWM96"/>
      <c r="NWN96"/>
      <c r="NWO96"/>
      <c r="NWP96"/>
      <c r="NWQ96"/>
      <c r="NWR96"/>
      <c r="NWS96"/>
      <c r="NWT96"/>
      <c r="NWU96"/>
      <c r="NWV96"/>
      <c r="NWW96"/>
      <c r="NWX96"/>
      <c r="NWY96"/>
      <c r="NWZ96"/>
      <c r="NXA96"/>
      <c r="NXB96"/>
      <c r="NXC96"/>
      <c r="NXD96"/>
      <c r="NXE96"/>
      <c r="NXF96"/>
      <c r="NXG96"/>
      <c r="NXH96"/>
      <c r="NXI96"/>
      <c r="NXJ96"/>
      <c r="NXK96"/>
      <c r="NXL96"/>
      <c r="NXM96"/>
      <c r="NXN96"/>
      <c r="NXO96"/>
      <c r="NXP96"/>
      <c r="NXQ96"/>
      <c r="NXR96"/>
      <c r="NXS96"/>
      <c r="NXT96"/>
      <c r="NXU96"/>
      <c r="NXV96"/>
      <c r="NXW96"/>
      <c r="NXX96"/>
      <c r="NXY96"/>
      <c r="NXZ96"/>
      <c r="NYA96"/>
      <c r="NYB96"/>
      <c r="NYC96"/>
      <c r="NYD96"/>
      <c r="NYE96"/>
      <c r="NYF96"/>
      <c r="NYG96"/>
      <c r="NYH96"/>
      <c r="NYI96"/>
      <c r="NYJ96"/>
      <c r="NYK96"/>
      <c r="NYL96"/>
      <c r="NYM96"/>
      <c r="NYN96"/>
      <c r="NYO96"/>
      <c r="NYP96"/>
      <c r="NYQ96"/>
      <c r="NYR96"/>
      <c r="NYS96"/>
      <c r="NYT96"/>
      <c r="NYU96"/>
      <c r="NYV96"/>
      <c r="NYW96"/>
      <c r="NYX96"/>
      <c r="NYY96"/>
      <c r="NYZ96"/>
      <c r="NZA96"/>
      <c r="NZB96"/>
      <c r="NZC96"/>
      <c r="NZD96"/>
      <c r="NZE96"/>
      <c r="NZF96"/>
      <c r="NZG96"/>
      <c r="NZH96"/>
      <c r="NZI96"/>
      <c r="NZJ96"/>
      <c r="NZK96"/>
      <c r="NZL96"/>
      <c r="NZM96"/>
      <c r="NZN96"/>
      <c r="NZO96"/>
      <c r="NZP96"/>
      <c r="NZQ96"/>
      <c r="NZR96"/>
      <c r="NZS96"/>
      <c r="NZT96"/>
      <c r="NZU96"/>
      <c r="NZV96"/>
      <c r="NZW96"/>
      <c r="NZX96"/>
      <c r="NZY96"/>
      <c r="NZZ96"/>
      <c r="OAA96"/>
      <c r="OAB96"/>
      <c r="OAC96"/>
      <c r="OAD96"/>
      <c r="OAE96"/>
      <c r="OAF96"/>
      <c r="OAG96"/>
      <c r="OAH96"/>
      <c r="OAI96"/>
      <c r="OAJ96"/>
      <c r="OAK96"/>
      <c r="OAL96"/>
      <c r="OAM96"/>
      <c r="OAN96"/>
      <c r="OAO96"/>
      <c r="OAP96"/>
      <c r="OAQ96"/>
      <c r="OAR96"/>
      <c r="OAS96"/>
      <c r="OAT96"/>
      <c r="OAU96"/>
      <c r="OAV96"/>
      <c r="OAW96"/>
      <c r="OAX96"/>
      <c r="OAY96"/>
      <c r="OAZ96"/>
      <c r="OBA96"/>
      <c r="OBB96"/>
      <c r="OBC96"/>
      <c r="OBD96"/>
      <c r="OBE96"/>
      <c r="OBF96"/>
      <c r="OBG96"/>
      <c r="OBH96"/>
      <c r="OBI96"/>
      <c r="OBJ96"/>
      <c r="OBK96"/>
      <c r="OBL96"/>
      <c r="OBM96"/>
      <c r="OBN96"/>
      <c r="OBO96"/>
      <c r="OBP96"/>
      <c r="OBQ96"/>
      <c r="OBR96"/>
      <c r="OBS96"/>
      <c r="OBT96"/>
      <c r="OBU96"/>
      <c r="OBV96"/>
      <c r="OBW96"/>
      <c r="OBX96"/>
      <c r="OBY96"/>
      <c r="OBZ96"/>
      <c r="OCA96"/>
      <c r="OCB96"/>
      <c r="OCC96"/>
      <c r="OCD96"/>
      <c r="OCE96"/>
      <c r="OCF96"/>
      <c r="OCG96"/>
      <c r="OCH96"/>
      <c r="OCI96"/>
      <c r="OCJ96"/>
      <c r="OCK96"/>
      <c r="OCL96"/>
      <c r="OCM96"/>
      <c r="OCN96"/>
      <c r="OCO96"/>
      <c r="OCP96"/>
      <c r="OCQ96"/>
      <c r="OCR96"/>
      <c r="OCS96"/>
      <c r="OCT96"/>
      <c r="OCU96"/>
      <c r="OCV96"/>
      <c r="OCW96"/>
      <c r="OCX96"/>
      <c r="OCY96"/>
      <c r="OCZ96"/>
      <c r="ODA96"/>
      <c r="ODB96"/>
      <c r="ODC96"/>
      <c r="ODD96"/>
      <c r="ODE96"/>
      <c r="ODF96"/>
      <c r="ODG96"/>
      <c r="ODH96"/>
      <c r="ODI96"/>
      <c r="ODJ96"/>
      <c r="ODK96"/>
      <c r="ODL96"/>
      <c r="ODM96"/>
      <c r="ODN96"/>
      <c r="ODO96"/>
      <c r="ODP96"/>
      <c r="ODQ96"/>
      <c r="ODR96"/>
      <c r="ODS96"/>
      <c r="ODT96"/>
      <c r="ODU96"/>
      <c r="ODV96"/>
      <c r="ODW96"/>
      <c r="ODX96"/>
      <c r="ODY96"/>
      <c r="ODZ96"/>
      <c r="OEA96"/>
      <c r="OEB96"/>
      <c r="OEC96"/>
      <c r="OED96"/>
      <c r="OEE96"/>
      <c r="OEF96"/>
      <c r="OEG96"/>
      <c r="OEH96"/>
      <c r="OEI96"/>
      <c r="OEJ96"/>
      <c r="OEK96"/>
      <c r="OEL96"/>
      <c r="OEM96"/>
      <c r="OEN96"/>
      <c r="OEO96"/>
      <c r="OEP96"/>
      <c r="OEQ96"/>
      <c r="OER96"/>
      <c r="OES96"/>
      <c r="OET96"/>
      <c r="OEU96"/>
      <c r="OEV96"/>
      <c r="OEW96"/>
      <c r="OEX96"/>
      <c r="OEY96"/>
      <c r="OEZ96"/>
      <c r="OFA96"/>
      <c r="OFB96"/>
      <c r="OFC96"/>
      <c r="OFD96"/>
      <c r="OFE96"/>
      <c r="OFF96"/>
      <c r="OFG96"/>
      <c r="OFH96"/>
      <c r="OFI96"/>
      <c r="OFJ96"/>
      <c r="OFK96"/>
      <c r="OFL96"/>
      <c r="OFM96"/>
      <c r="OFN96"/>
      <c r="OFO96"/>
      <c r="OFP96"/>
      <c r="OFQ96"/>
      <c r="OFR96"/>
      <c r="OFS96"/>
      <c r="OFT96"/>
      <c r="OFU96"/>
      <c r="OFV96"/>
      <c r="OFW96"/>
      <c r="OFX96"/>
      <c r="OFY96"/>
      <c r="OFZ96"/>
      <c r="OGA96"/>
      <c r="OGB96"/>
      <c r="OGC96"/>
      <c r="OGD96"/>
      <c r="OGE96"/>
      <c r="OGF96"/>
      <c r="OGG96"/>
      <c r="OGH96"/>
      <c r="OGI96"/>
      <c r="OGJ96"/>
      <c r="OGK96"/>
      <c r="OGL96"/>
      <c r="OGM96"/>
      <c r="OGN96"/>
      <c r="OGO96"/>
      <c r="OGP96"/>
      <c r="OGQ96"/>
      <c r="OGR96"/>
      <c r="OGS96"/>
      <c r="OGT96"/>
      <c r="OGU96"/>
      <c r="OGV96"/>
      <c r="OGW96"/>
      <c r="OGX96"/>
      <c r="OGY96"/>
      <c r="OGZ96"/>
      <c r="OHA96"/>
      <c r="OHB96"/>
      <c r="OHC96"/>
      <c r="OHD96"/>
      <c r="OHE96"/>
      <c r="OHF96"/>
      <c r="OHG96"/>
      <c r="OHH96"/>
      <c r="OHI96"/>
      <c r="OHJ96"/>
      <c r="OHK96"/>
      <c r="OHL96"/>
      <c r="OHM96"/>
      <c r="OHN96"/>
      <c r="OHO96"/>
      <c r="OHP96"/>
      <c r="OHQ96"/>
      <c r="OHR96"/>
      <c r="OHS96"/>
      <c r="OHT96"/>
      <c r="OHU96"/>
      <c r="OHV96"/>
      <c r="OHW96"/>
      <c r="OHX96"/>
      <c r="OHY96"/>
      <c r="OHZ96"/>
      <c r="OIA96"/>
      <c r="OIB96"/>
      <c r="OIC96"/>
      <c r="OID96"/>
      <c r="OIE96"/>
      <c r="OIF96"/>
      <c r="OIG96"/>
      <c r="OIH96"/>
      <c r="OII96"/>
      <c r="OIJ96"/>
      <c r="OIK96"/>
      <c r="OIL96"/>
      <c r="OIM96"/>
      <c r="OIN96"/>
      <c r="OIO96"/>
      <c r="OIP96"/>
      <c r="OIQ96"/>
      <c r="OIR96"/>
      <c r="OIS96"/>
      <c r="OIT96"/>
      <c r="OIU96"/>
      <c r="OIV96"/>
      <c r="OIW96"/>
      <c r="OIX96"/>
      <c r="OIY96"/>
      <c r="OIZ96"/>
      <c r="OJA96"/>
      <c r="OJB96"/>
      <c r="OJC96"/>
      <c r="OJD96"/>
      <c r="OJE96"/>
      <c r="OJF96"/>
      <c r="OJG96"/>
      <c r="OJH96"/>
      <c r="OJI96"/>
      <c r="OJJ96"/>
      <c r="OJK96"/>
      <c r="OJL96"/>
      <c r="OJM96"/>
      <c r="OJN96"/>
      <c r="OJO96"/>
      <c r="OJP96"/>
      <c r="OJQ96"/>
      <c r="OJR96"/>
      <c r="OJS96"/>
      <c r="OJT96"/>
      <c r="OJU96"/>
      <c r="OJV96"/>
      <c r="OJW96"/>
      <c r="OJX96"/>
      <c r="OJY96"/>
      <c r="OJZ96"/>
      <c r="OKA96"/>
      <c r="OKB96"/>
      <c r="OKC96"/>
      <c r="OKD96"/>
      <c r="OKE96"/>
      <c r="OKF96"/>
      <c r="OKG96"/>
      <c r="OKH96"/>
      <c r="OKI96"/>
      <c r="OKJ96"/>
      <c r="OKK96"/>
      <c r="OKL96"/>
      <c r="OKM96"/>
      <c r="OKN96"/>
      <c r="OKO96"/>
      <c r="OKP96"/>
      <c r="OKQ96"/>
      <c r="OKR96"/>
      <c r="OKS96"/>
      <c r="OKT96"/>
      <c r="OKU96"/>
      <c r="OKV96"/>
      <c r="OKW96"/>
      <c r="OKX96"/>
      <c r="OKY96"/>
      <c r="OKZ96"/>
      <c r="OLA96"/>
      <c r="OLB96"/>
      <c r="OLC96"/>
      <c r="OLD96"/>
      <c r="OLE96"/>
      <c r="OLF96"/>
      <c r="OLG96"/>
      <c r="OLH96"/>
      <c r="OLI96"/>
      <c r="OLJ96"/>
      <c r="OLK96"/>
      <c r="OLL96"/>
      <c r="OLM96"/>
      <c r="OLN96"/>
      <c r="OLO96"/>
      <c r="OLP96"/>
      <c r="OLQ96"/>
      <c r="OLR96"/>
      <c r="OLS96"/>
      <c r="OLT96"/>
      <c r="OLU96"/>
      <c r="OLV96"/>
      <c r="OLW96"/>
      <c r="OLX96"/>
      <c r="OLY96"/>
      <c r="OLZ96"/>
      <c r="OMA96"/>
      <c r="OMB96"/>
      <c r="OMC96"/>
      <c r="OMD96"/>
      <c r="OME96"/>
      <c r="OMF96"/>
      <c r="OMG96"/>
      <c r="OMH96"/>
      <c r="OMI96"/>
      <c r="OMJ96"/>
      <c r="OMK96"/>
      <c r="OML96"/>
      <c r="OMM96"/>
      <c r="OMN96"/>
      <c r="OMO96"/>
      <c r="OMP96"/>
      <c r="OMQ96"/>
      <c r="OMR96"/>
      <c r="OMS96"/>
      <c r="OMT96"/>
      <c r="OMU96"/>
      <c r="OMV96"/>
      <c r="OMW96"/>
      <c r="OMX96"/>
      <c r="OMY96"/>
      <c r="OMZ96"/>
      <c r="ONA96"/>
      <c r="ONB96"/>
      <c r="ONC96"/>
      <c r="OND96"/>
      <c r="ONE96"/>
      <c r="ONF96"/>
      <c r="ONG96"/>
      <c r="ONH96"/>
      <c r="ONI96"/>
      <c r="ONJ96"/>
      <c r="ONK96"/>
      <c r="ONL96"/>
      <c r="ONM96"/>
      <c r="ONN96"/>
      <c r="ONO96"/>
      <c r="ONP96"/>
      <c r="ONQ96"/>
      <c r="ONR96"/>
      <c r="ONS96"/>
      <c r="ONT96"/>
      <c r="ONU96"/>
      <c r="ONV96"/>
      <c r="ONW96"/>
      <c r="ONX96"/>
      <c r="ONY96"/>
      <c r="ONZ96"/>
      <c r="OOA96"/>
      <c r="OOB96"/>
      <c r="OOC96"/>
      <c r="OOD96"/>
      <c r="OOE96"/>
      <c r="OOF96"/>
      <c r="OOG96"/>
      <c r="OOH96"/>
      <c r="OOI96"/>
      <c r="OOJ96"/>
      <c r="OOK96"/>
      <c r="OOL96"/>
      <c r="OOM96"/>
      <c r="OON96"/>
      <c r="OOO96"/>
      <c r="OOP96"/>
      <c r="OOQ96"/>
      <c r="OOR96"/>
      <c r="OOS96"/>
      <c r="OOT96"/>
      <c r="OOU96"/>
      <c r="OOV96"/>
      <c r="OOW96"/>
      <c r="OOX96"/>
      <c r="OOY96"/>
      <c r="OOZ96"/>
      <c r="OPA96"/>
      <c r="OPB96"/>
      <c r="OPC96"/>
      <c r="OPD96"/>
      <c r="OPE96"/>
      <c r="OPF96"/>
      <c r="OPG96"/>
      <c r="OPH96"/>
      <c r="OPI96"/>
      <c r="OPJ96"/>
      <c r="OPK96"/>
      <c r="OPL96"/>
      <c r="OPM96"/>
      <c r="OPN96"/>
      <c r="OPO96"/>
      <c r="OPP96"/>
      <c r="OPQ96"/>
      <c r="OPR96"/>
      <c r="OPS96"/>
      <c r="OPT96"/>
      <c r="OPU96"/>
      <c r="OPV96"/>
      <c r="OPW96"/>
      <c r="OPX96"/>
      <c r="OPY96"/>
      <c r="OPZ96"/>
      <c r="OQA96"/>
      <c r="OQB96"/>
      <c r="OQC96"/>
      <c r="OQD96"/>
      <c r="OQE96"/>
      <c r="OQF96"/>
      <c r="OQG96"/>
      <c r="OQH96"/>
      <c r="OQI96"/>
      <c r="OQJ96"/>
      <c r="OQK96"/>
      <c r="OQL96"/>
      <c r="OQM96"/>
      <c r="OQN96"/>
      <c r="OQO96"/>
      <c r="OQP96"/>
      <c r="OQQ96"/>
      <c r="OQR96"/>
      <c r="OQS96"/>
      <c r="OQT96"/>
      <c r="OQU96"/>
      <c r="OQV96"/>
      <c r="OQW96"/>
      <c r="OQX96"/>
      <c r="OQY96"/>
      <c r="OQZ96"/>
      <c r="ORA96"/>
      <c r="ORB96"/>
      <c r="ORC96"/>
      <c r="ORD96"/>
      <c r="ORE96"/>
      <c r="ORF96"/>
      <c r="ORG96"/>
      <c r="ORH96"/>
      <c r="ORI96"/>
      <c r="ORJ96"/>
      <c r="ORK96"/>
      <c r="ORL96"/>
      <c r="ORM96"/>
      <c r="ORN96"/>
      <c r="ORO96"/>
      <c r="ORP96"/>
      <c r="ORQ96"/>
      <c r="ORR96"/>
      <c r="ORS96"/>
      <c r="ORT96"/>
      <c r="ORU96"/>
      <c r="ORV96"/>
      <c r="ORW96"/>
      <c r="ORX96"/>
      <c r="ORY96"/>
      <c r="ORZ96"/>
      <c r="OSA96"/>
      <c r="OSB96"/>
      <c r="OSC96"/>
      <c r="OSD96"/>
      <c r="OSE96"/>
      <c r="OSF96"/>
      <c r="OSG96"/>
      <c r="OSH96"/>
      <c r="OSI96"/>
      <c r="OSJ96"/>
      <c r="OSK96"/>
      <c r="OSL96"/>
      <c r="OSM96"/>
      <c r="OSN96"/>
      <c r="OSO96"/>
      <c r="OSP96"/>
      <c r="OSQ96"/>
      <c r="OSR96"/>
      <c r="OSS96"/>
      <c r="OST96"/>
      <c r="OSU96"/>
      <c r="OSV96"/>
      <c r="OSW96"/>
      <c r="OSX96"/>
      <c r="OSY96"/>
      <c r="OSZ96"/>
      <c r="OTA96"/>
      <c r="OTB96"/>
      <c r="OTC96"/>
      <c r="OTD96"/>
      <c r="OTE96"/>
      <c r="OTF96"/>
      <c r="OTG96"/>
      <c r="OTH96"/>
      <c r="OTI96"/>
      <c r="OTJ96"/>
      <c r="OTK96"/>
      <c r="OTL96"/>
      <c r="OTM96"/>
      <c r="OTN96"/>
      <c r="OTO96"/>
      <c r="OTP96"/>
      <c r="OTQ96"/>
      <c r="OTR96"/>
      <c r="OTS96"/>
      <c r="OTT96"/>
      <c r="OTU96"/>
      <c r="OTV96"/>
      <c r="OTW96"/>
      <c r="OTX96"/>
      <c r="OTY96"/>
      <c r="OTZ96"/>
      <c r="OUA96"/>
      <c r="OUB96"/>
      <c r="OUC96"/>
      <c r="OUD96"/>
      <c r="OUE96"/>
      <c r="OUF96"/>
      <c r="OUG96"/>
      <c r="OUH96"/>
      <c r="OUI96"/>
      <c r="OUJ96"/>
      <c r="OUK96"/>
      <c r="OUL96"/>
      <c r="OUM96"/>
      <c r="OUN96"/>
      <c r="OUO96"/>
      <c r="OUP96"/>
      <c r="OUQ96"/>
      <c r="OUR96"/>
      <c r="OUS96"/>
      <c r="OUT96"/>
      <c r="OUU96"/>
      <c r="OUV96"/>
      <c r="OUW96"/>
      <c r="OUX96"/>
      <c r="OUY96"/>
      <c r="OUZ96"/>
      <c r="OVA96"/>
      <c r="OVB96"/>
      <c r="OVC96"/>
      <c r="OVD96"/>
      <c r="OVE96"/>
      <c r="OVF96"/>
      <c r="OVG96"/>
      <c r="OVH96"/>
      <c r="OVI96"/>
      <c r="OVJ96"/>
      <c r="OVK96"/>
      <c r="OVL96"/>
      <c r="OVM96"/>
      <c r="OVN96"/>
      <c r="OVO96"/>
      <c r="OVP96"/>
      <c r="OVQ96"/>
      <c r="OVR96"/>
      <c r="OVS96"/>
      <c r="OVT96"/>
      <c r="OVU96"/>
      <c r="OVV96"/>
      <c r="OVW96"/>
      <c r="OVX96"/>
      <c r="OVY96"/>
      <c r="OVZ96"/>
      <c r="OWA96"/>
      <c r="OWB96"/>
      <c r="OWC96"/>
      <c r="OWD96"/>
      <c r="OWE96"/>
      <c r="OWF96"/>
      <c r="OWG96"/>
      <c r="OWH96"/>
      <c r="OWI96"/>
      <c r="OWJ96"/>
      <c r="OWK96"/>
      <c r="OWL96"/>
      <c r="OWM96"/>
      <c r="OWN96"/>
      <c r="OWO96"/>
      <c r="OWP96"/>
      <c r="OWQ96"/>
      <c r="OWR96"/>
      <c r="OWS96"/>
      <c r="OWT96"/>
      <c r="OWU96"/>
      <c r="OWV96"/>
      <c r="OWW96"/>
      <c r="OWX96"/>
      <c r="OWY96"/>
      <c r="OWZ96"/>
      <c r="OXA96"/>
      <c r="OXB96"/>
      <c r="OXC96"/>
      <c r="OXD96"/>
      <c r="OXE96"/>
      <c r="OXF96"/>
      <c r="OXG96"/>
      <c r="OXH96"/>
      <c r="OXI96"/>
      <c r="OXJ96"/>
      <c r="OXK96"/>
      <c r="OXL96"/>
      <c r="OXM96"/>
      <c r="OXN96"/>
      <c r="OXO96"/>
      <c r="OXP96"/>
      <c r="OXQ96"/>
      <c r="OXR96"/>
      <c r="OXS96"/>
      <c r="OXT96"/>
      <c r="OXU96"/>
      <c r="OXV96"/>
      <c r="OXW96"/>
      <c r="OXX96"/>
      <c r="OXY96"/>
      <c r="OXZ96"/>
      <c r="OYA96"/>
      <c r="OYB96"/>
      <c r="OYC96"/>
      <c r="OYD96"/>
      <c r="OYE96"/>
      <c r="OYF96"/>
      <c r="OYG96"/>
      <c r="OYH96"/>
      <c r="OYI96"/>
      <c r="OYJ96"/>
      <c r="OYK96"/>
      <c r="OYL96"/>
      <c r="OYM96"/>
      <c r="OYN96"/>
      <c r="OYO96"/>
      <c r="OYP96"/>
      <c r="OYQ96"/>
      <c r="OYR96"/>
      <c r="OYS96"/>
      <c r="OYT96"/>
      <c r="OYU96"/>
      <c r="OYV96"/>
      <c r="OYW96"/>
      <c r="OYX96"/>
      <c r="OYY96"/>
      <c r="OYZ96"/>
      <c r="OZA96"/>
      <c r="OZB96"/>
      <c r="OZC96"/>
      <c r="OZD96"/>
      <c r="OZE96"/>
      <c r="OZF96"/>
      <c r="OZG96"/>
      <c r="OZH96"/>
      <c r="OZI96"/>
      <c r="OZJ96"/>
      <c r="OZK96"/>
      <c r="OZL96"/>
      <c r="OZM96"/>
      <c r="OZN96"/>
      <c r="OZO96"/>
      <c r="OZP96"/>
      <c r="OZQ96"/>
      <c r="OZR96"/>
      <c r="OZS96"/>
      <c r="OZT96"/>
      <c r="OZU96"/>
      <c r="OZV96"/>
      <c r="OZW96"/>
      <c r="OZX96"/>
      <c r="OZY96"/>
      <c r="OZZ96"/>
      <c r="PAA96"/>
      <c r="PAB96"/>
      <c r="PAC96"/>
      <c r="PAD96"/>
      <c r="PAE96"/>
      <c r="PAF96"/>
      <c r="PAG96"/>
      <c r="PAH96"/>
      <c r="PAI96"/>
      <c r="PAJ96"/>
      <c r="PAK96"/>
      <c r="PAL96"/>
      <c r="PAM96"/>
      <c r="PAN96"/>
      <c r="PAO96"/>
      <c r="PAP96"/>
      <c r="PAQ96"/>
      <c r="PAR96"/>
      <c r="PAS96"/>
      <c r="PAT96"/>
      <c r="PAU96"/>
      <c r="PAV96"/>
      <c r="PAW96"/>
      <c r="PAX96"/>
      <c r="PAY96"/>
      <c r="PAZ96"/>
      <c r="PBA96"/>
      <c r="PBB96"/>
      <c r="PBC96"/>
      <c r="PBD96"/>
      <c r="PBE96"/>
      <c r="PBF96"/>
      <c r="PBG96"/>
      <c r="PBH96"/>
      <c r="PBI96"/>
      <c r="PBJ96"/>
      <c r="PBK96"/>
      <c r="PBL96"/>
      <c r="PBM96"/>
      <c r="PBN96"/>
      <c r="PBO96"/>
      <c r="PBP96"/>
      <c r="PBQ96"/>
      <c r="PBR96"/>
      <c r="PBS96"/>
      <c r="PBT96"/>
      <c r="PBU96"/>
      <c r="PBV96"/>
      <c r="PBW96"/>
      <c r="PBX96"/>
      <c r="PBY96"/>
      <c r="PBZ96"/>
      <c r="PCA96"/>
      <c r="PCB96"/>
      <c r="PCC96"/>
      <c r="PCD96"/>
      <c r="PCE96"/>
      <c r="PCF96"/>
      <c r="PCG96"/>
      <c r="PCH96"/>
      <c r="PCI96"/>
      <c r="PCJ96"/>
      <c r="PCK96"/>
      <c r="PCL96"/>
      <c r="PCM96"/>
      <c r="PCN96"/>
      <c r="PCO96"/>
      <c r="PCP96"/>
      <c r="PCQ96"/>
      <c r="PCR96"/>
      <c r="PCS96"/>
      <c r="PCT96"/>
      <c r="PCU96"/>
      <c r="PCV96"/>
      <c r="PCW96"/>
      <c r="PCX96"/>
      <c r="PCY96"/>
      <c r="PCZ96"/>
      <c r="PDA96"/>
      <c r="PDB96"/>
      <c r="PDC96"/>
      <c r="PDD96"/>
      <c r="PDE96"/>
      <c r="PDF96"/>
      <c r="PDG96"/>
      <c r="PDH96"/>
      <c r="PDI96"/>
      <c r="PDJ96"/>
      <c r="PDK96"/>
      <c r="PDL96"/>
      <c r="PDM96"/>
      <c r="PDN96"/>
      <c r="PDO96"/>
      <c r="PDP96"/>
      <c r="PDQ96"/>
      <c r="PDR96"/>
      <c r="PDS96"/>
      <c r="PDT96"/>
      <c r="PDU96"/>
      <c r="PDV96"/>
      <c r="PDW96"/>
      <c r="PDX96"/>
      <c r="PDY96"/>
      <c r="PDZ96"/>
      <c r="PEA96"/>
      <c r="PEB96"/>
      <c r="PEC96"/>
      <c r="PED96"/>
      <c r="PEE96"/>
      <c r="PEF96"/>
      <c r="PEG96"/>
      <c r="PEH96"/>
      <c r="PEI96"/>
      <c r="PEJ96"/>
      <c r="PEK96"/>
      <c r="PEL96"/>
      <c r="PEM96"/>
      <c r="PEN96"/>
      <c r="PEO96"/>
      <c r="PEP96"/>
      <c r="PEQ96"/>
      <c r="PER96"/>
      <c r="PES96"/>
      <c r="PET96"/>
      <c r="PEU96"/>
      <c r="PEV96"/>
      <c r="PEW96"/>
      <c r="PEX96"/>
      <c r="PEY96"/>
      <c r="PEZ96"/>
      <c r="PFA96"/>
      <c r="PFB96"/>
      <c r="PFC96"/>
      <c r="PFD96"/>
      <c r="PFE96"/>
      <c r="PFF96"/>
      <c r="PFG96"/>
      <c r="PFH96"/>
      <c r="PFI96"/>
      <c r="PFJ96"/>
      <c r="PFK96"/>
      <c r="PFL96"/>
      <c r="PFM96"/>
      <c r="PFN96"/>
      <c r="PFO96"/>
      <c r="PFP96"/>
      <c r="PFQ96"/>
      <c r="PFR96"/>
      <c r="PFS96"/>
      <c r="PFT96"/>
      <c r="PFU96"/>
      <c r="PFV96"/>
      <c r="PFW96"/>
      <c r="PFX96"/>
      <c r="PFY96"/>
      <c r="PFZ96"/>
      <c r="PGA96"/>
      <c r="PGB96"/>
      <c r="PGC96"/>
      <c r="PGD96"/>
      <c r="PGE96"/>
      <c r="PGF96"/>
      <c r="PGG96"/>
      <c r="PGH96"/>
      <c r="PGI96"/>
      <c r="PGJ96"/>
      <c r="PGK96"/>
      <c r="PGL96"/>
      <c r="PGM96"/>
      <c r="PGN96"/>
      <c r="PGO96"/>
      <c r="PGP96"/>
      <c r="PGQ96"/>
      <c r="PGR96"/>
      <c r="PGS96"/>
      <c r="PGT96"/>
      <c r="PGU96"/>
      <c r="PGV96"/>
      <c r="PGW96"/>
      <c r="PGX96"/>
      <c r="PGY96"/>
      <c r="PGZ96"/>
      <c r="PHA96"/>
      <c r="PHB96"/>
      <c r="PHC96"/>
      <c r="PHD96"/>
      <c r="PHE96"/>
      <c r="PHF96"/>
      <c r="PHG96"/>
      <c r="PHH96"/>
      <c r="PHI96"/>
      <c r="PHJ96"/>
      <c r="PHK96"/>
      <c r="PHL96"/>
      <c r="PHM96"/>
      <c r="PHN96"/>
      <c r="PHO96"/>
      <c r="PHP96"/>
      <c r="PHQ96"/>
      <c r="PHR96"/>
      <c r="PHS96"/>
      <c r="PHT96"/>
      <c r="PHU96"/>
      <c r="PHV96"/>
      <c r="PHW96"/>
      <c r="PHX96"/>
      <c r="PHY96"/>
      <c r="PHZ96"/>
      <c r="PIA96"/>
      <c r="PIB96"/>
      <c r="PIC96"/>
      <c r="PID96"/>
      <c r="PIE96"/>
      <c r="PIF96"/>
      <c r="PIG96"/>
      <c r="PIH96"/>
      <c r="PII96"/>
      <c r="PIJ96"/>
      <c r="PIK96"/>
      <c r="PIL96"/>
      <c r="PIM96"/>
      <c r="PIN96"/>
      <c r="PIO96"/>
      <c r="PIP96"/>
      <c r="PIQ96"/>
      <c r="PIR96"/>
      <c r="PIS96"/>
      <c r="PIT96"/>
      <c r="PIU96"/>
      <c r="PIV96"/>
      <c r="PIW96"/>
      <c r="PIX96"/>
      <c r="PIY96"/>
      <c r="PIZ96"/>
      <c r="PJA96"/>
      <c r="PJB96"/>
      <c r="PJC96"/>
      <c r="PJD96"/>
      <c r="PJE96"/>
      <c r="PJF96"/>
      <c r="PJG96"/>
      <c r="PJH96"/>
      <c r="PJI96"/>
      <c r="PJJ96"/>
      <c r="PJK96"/>
      <c r="PJL96"/>
      <c r="PJM96"/>
      <c r="PJN96"/>
      <c r="PJO96"/>
      <c r="PJP96"/>
      <c r="PJQ96"/>
      <c r="PJR96"/>
      <c r="PJS96"/>
      <c r="PJT96"/>
      <c r="PJU96"/>
      <c r="PJV96"/>
      <c r="PJW96"/>
      <c r="PJX96"/>
      <c r="PJY96"/>
      <c r="PJZ96"/>
      <c r="PKA96"/>
      <c r="PKB96"/>
      <c r="PKC96"/>
      <c r="PKD96"/>
      <c r="PKE96"/>
      <c r="PKF96"/>
      <c r="PKG96"/>
      <c r="PKH96"/>
      <c r="PKI96"/>
      <c r="PKJ96"/>
      <c r="PKK96"/>
      <c r="PKL96"/>
      <c r="PKM96"/>
      <c r="PKN96"/>
      <c r="PKO96"/>
      <c r="PKP96"/>
      <c r="PKQ96"/>
      <c r="PKR96"/>
      <c r="PKS96"/>
      <c r="PKT96"/>
      <c r="PKU96"/>
      <c r="PKV96"/>
      <c r="PKW96"/>
      <c r="PKX96"/>
      <c r="PKY96"/>
      <c r="PKZ96"/>
      <c r="PLA96"/>
      <c r="PLB96"/>
      <c r="PLC96"/>
      <c r="PLD96"/>
      <c r="PLE96"/>
      <c r="PLF96"/>
      <c r="PLG96"/>
      <c r="PLH96"/>
      <c r="PLI96"/>
      <c r="PLJ96"/>
      <c r="PLK96"/>
      <c r="PLL96"/>
      <c r="PLM96"/>
      <c r="PLN96"/>
      <c r="PLO96"/>
      <c r="PLP96"/>
      <c r="PLQ96"/>
      <c r="PLR96"/>
      <c r="PLS96"/>
      <c r="PLT96"/>
      <c r="PLU96"/>
      <c r="PLV96"/>
      <c r="PLW96"/>
      <c r="PLX96"/>
      <c r="PLY96"/>
      <c r="PLZ96"/>
      <c r="PMA96"/>
      <c r="PMB96"/>
      <c r="PMC96"/>
      <c r="PMD96"/>
      <c r="PME96"/>
      <c r="PMF96"/>
      <c r="PMG96"/>
      <c r="PMH96"/>
      <c r="PMI96"/>
      <c r="PMJ96"/>
      <c r="PMK96"/>
      <c r="PML96"/>
      <c r="PMM96"/>
      <c r="PMN96"/>
      <c r="PMO96"/>
      <c r="PMP96"/>
      <c r="PMQ96"/>
      <c r="PMR96"/>
      <c r="PMS96"/>
      <c r="PMT96"/>
      <c r="PMU96"/>
      <c r="PMV96"/>
      <c r="PMW96"/>
      <c r="PMX96"/>
      <c r="PMY96"/>
      <c r="PMZ96"/>
      <c r="PNA96"/>
      <c r="PNB96"/>
      <c r="PNC96"/>
      <c r="PND96"/>
      <c r="PNE96"/>
      <c r="PNF96"/>
      <c r="PNG96"/>
      <c r="PNH96"/>
      <c r="PNI96"/>
      <c r="PNJ96"/>
      <c r="PNK96"/>
      <c r="PNL96"/>
      <c r="PNM96"/>
      <c r="PNN96"/>
      <c r="PNO96"/>
      <c r="PNP96"/>
      <c r="PNQ96"/>
      <c r="PNR96"/>
      <c r="PNS96"/>
      <c r="PNT96"/>
      <c r="PNU96"/>
      <c r="PNV96"/>
      <c r="PNW96"/>
      <c r="PNX96"/>
      <c r="PNY96"/>
      <c r="PNZ96"/>
      <c r="POA96"/>
      <c r="POB96"/>
      <c r="POC96"/>
      <c r="POD96"/>
      <c r="POE96"/>
      <c r="POF96"/>
      <c r="POG96"/>
      <c r="POH96"/>
      <c r="POI96"/>
      <c r="POJ96"/>
      <c r="POK96"/>
      <c r="POL96"/>
      <c r="POM96"/>
      <c r="PON96"/>
      <c r="POO96"/>
      <c r="POP96"/>
      <c r="POQ96"/>
      <c r="POR96"/>
      <c r="POS96"/>
      <c r="POT96"/>
      <c r="POU96"/>
      <c r="POV96"/>
      <c r="POW96"/>
      <c r="POX96"/>
      <c r="POY96"/>
      <c r="POZ96"/>
      <c r="PPA96"/>
      <c r="PPB96"/>
      <c r="PPC96"/>
      <c r="PPD96"/>
      <c r="PPE96"/>
      <c r="PPF96"/>
      <c r="PPG96"/>
      <c r="PPH96"/>
      <c r="PPI96"/>
      <c r="PPJ96"/>
      <c r="PPK96"/>
      <c r="PPL96"/>
      <c r="PPM96"/>
      <c r="PPN96"/>
      <c r="PPO96"/>
      <c r="PPP96"/>
      <c r="PPQ96"/>
      <c r="PPR96"/>
      <c r="PPS96"/>
      <c r="PPT96"/>
      <c r="PPU96"/>
      <c r="PPV96"/>
      <c r="PPW96"/>
      <c r="PPX96"/>
      <c r="PPY96"/>
      <c r="PPZ96"/>
      <c r="PQA96"/>
      <c r="PQB96"/>
      <c r="PQC96"/>
      <c r="PQD96"/>
      <c r="PQE96"/>
      <c r="PQF96"/>
      <c r="PQG96"/>
      <c r="PQH96"/>
      <c r="PQI96"/>
      <c r="PQJ96"/>
      <c r="PQK96"/>
      <c r="PQL96"/>
      <c r="PQM96"/>
      <c r="PQN96"/>
      <c r="PQO96"/>
      <c r="PQP96"/>
      <c r="PQQ96"/>
      <c r="PQR96"/>
      <c r="PQS96"/>
      <c r="PQT96"/>
      <c r="PQU96"/>
      <c r="PQV96"/>
      <c r="PQW96"/>
      <c r="PQX96"/>
      <c r="PQY96"/>
      <c r="PQZ96"/>
      <c r="PRA96"/>
      <c r="PRB96"/>
      <c r="PRC96"/>
      <c r="PRD96"/>
      <c r="PRE96"/>
      <c r="PRF96"/>
      <c r="PRG96"/>
      <c r="PRH96"/>
      <c r="PRI96"/>
      <c r="PRJ96"/>
      <c r="PRK96"/>
      <c r="PRL96"/>
      <c r="PRM96"/>
      <c r="PRN96"/>
      <c r="PRO96"/>
      <c r="PRP96"/>
      <c r="PRQ96"/>
      <c r="PRR96"/>
      <c r="PRS96"/>
      <c r="PRT96"/>
      <c r="PRU96"/>
      <c r="PRV96"/>
      <c r="PRW96"/>
      <c r="PRX96"/>
      <c r="PRY96"/>
      <c r="PRZ96"/>
      <c r="PSA96"/>
      <c r="PSB96"/>
      <c r="PSC96"/>
      <c r="PSD96"/>
      <c r="PSE96"/>
      <c r="PSF96"/>
      <c r="PSG96"/>
      <c r="PSH96"/>
      <c r="PSI96"/>
      <c r="PSJ96"/>
      <c r="PSK96"/>
      <c r="PSL96"/>
      <c r="PSM96"/>
      <c r="PSN96"/>
      <c r="PSO96"/>
      <c r="PSP96"/>
      <c r="PSQ96"/>
      <c r="PSR96"/>
      <c r="PSS96"/>
      <c r="PST96"/>
      <c r="PSU96"/>
      <c r="PSV96"/>
      <c r="PSW96"/>
      <c r="PSX96"/>
      <c r="PSY96"/>
      <c r="PSZ96"/>
      <c r="PTA96"/>
      <c r="PTB96"/>
      <c r="PTC96"/>
      <c r="PTD96"/>
      <c r="PTE96"/>
      <c r="PTF96"/>
      <c r="PTG96"/>
      <c r="PTH96"/>
      <c r="PTI96"/>
      <c r="PTJ96"/>
      <c r="PTK96"/>
      <c r="PTL96"/>
      <c r="PTM96"/>
      <c r="PTN96"/>
      <c r="PTO96"/>
      <c r="PTP96"/>
      <c r="PTQ96"/>
      <c r="PTR96"/>
      <c r="PTS96"/>
      <c r="PTT96"/>
      <c r="PTU96"/>
      <c r="PTV96"/>
      <c r="PTW96"/>
      <c r="PTX96"/>
      <c r="PTY96"/>
      <c r="PTZ96"/>
      <c r="PUA96"/>
      <c r="PUB96"/>
      <c r="PUC96"/>
      <c r="PUD96"/>
      <c r="PUE96"/>
      <c r="PUF96"/>
      <c r="PUG96"/>
      <c r="PUH96"/>
      <c r="PUI96"/>
      <c r="PUJ96"/>
      <c r="PUK96"/>
      <c r="PUL96"/>
      <c r="PUM96"/>
      <c r="PUN96"/>
      <c r="PUO96"/>
      <c r="PUP96"/>
      <c r="PUQ96"/>
      <c r="PUR96"/>
      <c r="PUS96"/>
      <c r="PUT96"/>
      <c r="PUU96"/>
      <c r="PUV96"/>
      <c r="PUW96"/>
      <c r="PUX96"/>
      <c r="PUY96"/>
      <c r="PUZ96"/>
      <c r="PVA96"/>
      <c r="PVB96"/>
      <c r="PVC96"/>
      <c r="PVD96"/>
      <c r="PVE96"/>
      <c r="PVF96"/>
      <c r="PVG96"/>
      <c r="PVH96"/>
      <c r="PVI96"/>
      <c r="PVJ96"/>
      <c r="PVK96"/>
      <c r="PVL96"/>
      <c r="PVM96"/>
      <c r="PVN96"/>
      <c r="PVO96"/>
      <c r="PVP96"/>
      <c r="PVQ96"/>
      <c r="PVR96"/>
      <c r="PVS96"/>
      <c r="PVT96"/>
      <c r="PVU96"/>
      <c r="PVV96"/>
      <c r="PVW96"/>
      <c r="PVX96"/>
      <c r="PVY96"/>
      <c r="PVZ96"/>
      <c r="PWA96"/>
      <c r="PWB96"/>
      <c r="PWC96"/>
      <c r="PWD96"/>
      <c r="PWE96"/>
      <c r="PWF96"/>
      <c r="PWG96"/>
      <c r="PWH96"/>
      <c r="PWI96"/>
      <c r="PWJ96"/>
      <c r="PWK96"/>
      <c r="PWL96"/>
      <c r="PWM96"/>
      <c r="PWN96"/>
      <c r="PWO96"/>
      <c r="PWP96"/>
      <c r="PWQ96"/>
      <c r="PWR96"/>
      <c r="PWS96"/>
      <c r="PWT96"/>
      <c r="PWU96"/>
      <c r="PWV96"/>
      <c r="PWW96"/>
      <c r="PWX96"/>
      <c r="PWY96"/>
      <c r="PWZ96"/>
      <c r="PXA96"/>
      <c r="PXB96"/>
      <c r="PXC96"/>
      <c r="PXD96"/>
      <c r="PXE96"/>
      <c r="PXF96"/>
      <c r="PXG96"/>
      <c r="PXH96"/>
      <c r="PXI96"/>
      <c r="PXJ96"/>
      <c r="PXK96"/>
      <c r="PXL96"/>
      <c r="PXM96"/>
      <c r="PXN96"/>
      <c r="PXO96"/>
      <c r="PXP96"/>
      <c r="PXQ96"/>
      <c r="PXR96"/>
      <c r="PXS96"/>
      <c r="PXT96"/>
      <c r="PXU96"/>
      <c r="PXV96"/>
      <c r="PXW96"/>
      <c r="PXX96"/>
      <c r="PXY96"/>
      <c r="PXZ96"/>
      <c r="PYA96"/>
      <c r="PYB96"/>
      <c r="PYC96"/>
      <c r="PYD96"/>
      <c r="PYE96"/>
      <c r="PYF96"/>
      <c r="PYG96"/>
      <c r="PYH96"/>
      <c r="PYI96"/>
      <c r="PYJ96"/>
      <c r="PYK96"/>
      <c r="PYL96"/>
      <c r="PYM96"/>
      <c r="PYN96"/>
      <c r="PYO96"/>
      <c r="PYP96"/>
      <c r="PYQ96"/>
      <c r="PYR96"/>
      <c r="PYS96"/>
      <c r="PYT96"/>
      <c r="PYU96"/>
      <c r="PYV96"/>
      <c r="PYW96"/>
      <c r="PYX96"/>
      <c r="PYY96"/>
      <c r="PYZ96"/>
      <c r="PZA96"/>
      <c r="PZB96"/>
      <c r="PZC96"/>
      <c r="PZD96"/>
      <c r="PZE96"/>
      <c r="PZF96"/>
      <c r="PZG96"/>
      <c r="PZH96"/>
      <c r="PZI96"/>
      <c r="PZJ96"/>
      <c r="PZK96"/>
      <c r="PZL96"/>
      <c r="PZM96"/>
      <c r="PZN96"/>
      <c r="PZO96"/>
      <c r="PZP96"/>
      <c r="PZQ96"/>
      <c r="PZR96"/>
      <c r="PZS96"/>
      <c r="PZT96"/>
      <c r="PZU96"/>
      <c r="PZV96"/>
      <c r="PZW96"/>
      <c r="PZX96"/>
      <c r="PZY96"/>
      <c r="PZZ96"/>
      <c r="QAA96"/>
      <c r="QAB96"/>
      <c r="QAC96"/>
      <c r="QAD96"/>
      <c r="QAE96"/>
      <c r="QAF96"/>
      <c r="QAG96"/>
      <c r="QAH96"/>
      <c r="QAI96"/>
      <c r="QAJ96"/>
      <c r="QAK96"/>
      <c r="QAL96"/>
      <c r="QAM96"/>
      <c r="QAN96"/>
      <c r="QAO96"/>
      <c r="QAP96"/>
      <c r="QAQ96"/>
      <c r="QAR96"/>
      <c r="QAS96"/>
      <c r="QAT96"/>
      <c r="QAU96"/>
      <c r="QAV96"/>
      <c r="QAW96"/>
      <c r="QAX96"/>
      <c r="QAY96"/>
      <c r="QAZ96"/>
      <c r="QBA96"/>
      <c r="QBB96"/>
      <c r="QBC96"/>
      <c r="QBD96"/>
      <c r="QBE96"/>
      <c r="QBF96"/>
      <c r="QBG96"/>
      <c r="QBH96"/>
      <c r="QBI96"/>
      <c r="QBJ96"/>
      <c r="QBK96"/>
      <c r="QBL96"/>
      <c r="QBM96"/>
      <c r="QBN96"/>
      <c r="QBO96"/>
      <c r="QBP96"/>
      <c r="QBQ96"/>
      <c r="QBR96"/>
      <c r="QBS96"/>
      <c r="QBT96"/>
      <c r="QBU96"/>
      <c r="QBV96"/>
      <c r="QBW96"/>
      <c r="QBX96"/>
      <c r="QBY96"/>
      <c r="QBZ96"/>
      <c r="QCA96"/>
      <c r="QCB96"/>
      <c r="QCC96"/>
      <c r="QCD96"/>
      <c r="QCE96"/>
      <c r="QCF96"/>
      <c r="QCG96"/>
      <c r="QCH96"/>
      <c r="QCI96"/>
      <c r="QCJ96"/>
      <c r="QCK96"/>
      <c r="QCL96"/>
      <c r="QCM96"/>
      <c r="QCN96"/>
      <c r="QCO96"/>
      <c r="QCP96"/>
      <c r="QCQ96"/>
      <c r="QCR96"/>
      <c r="QCS96"/>
      <c r="QCT96"/>
      <c r="QCU96"/>
      <c r="QCV96"/>
      <c r="QCW96"/>
      <c r="QCX96"/>
      <c r="QCY96"/>
      <c r="QCZ96"/>
      <c r="QDA96"/>
      <c r="QDB96"/>
      <c r="QDC96"/>
      <c r="QDD96"/>
      <c r="QDE96"/>
      <c r="QDF96"/>
      <c r="QDG96"/>
      <c r="QDH96"/>
      <c r="QDI96"/>
      <c r="QDJ96"/>
      <c r="QDK96"/>
      <c r="QDL96"/>
      <c r="QDM96"/>
      <c r="QDN96"/>
      <c r="QDO96"/>
      <c r="QDP96"/>
      <c r="QDQ96"/>
      <c r="QDR96"/>
      <c r="QDS96"/>
      <c r="QDT96"/>
      <c r="QDU96"/>
      <c r="QDV96"/>
      <c r="QDW96"/>
      <c r="QDX96"/>
      <c r="QDY96"/>
      <c r="QDZ96"/>
      <c r="QEA96"/>
      <c r="QEB96"/>
      <c r="QEC96"/>
      <c r="QED96"/>
      <c r="QEE96"/>
      <c r="QEF96"/>
      <c r="QEG96"/>
      <c r="QEH96"/>
      <c r="QEI96"/>
      <c r="QEJ96"/>
      <c r="QEK96"/>
      <c r="QEL96"/>
      <c r="QEM96"/>
      <c r="QEN96"/>
      <c r="QEO96"/>
      <c r="QEP96"/>
      <c r="QEQ96"/>
      <c r="QER96"/>
      <c r="QES96"/>
      <c r="QET96"/>
      <c r="QEU96"/>
      <c r="QEV96"/>
      <c r="QEW96"/>
      <c r="QEX96"/>
      <c r="QEY96"/>
      <c r="QEZ96"/>
      <c r="QFA96"/>
      <c r="QFB96"/>
      <c r="QFC96"/>
      <c r="QFD96"/>
      <c r="QFE96"/>
      <c r="QFF96"/>
      <c r="QFG96"/>
      <c r="QFH96"/>
      <c r="QFI96"/>
      <c r="QFJ96"/>
      <c r="QFK96"/>
      <c r="QFL96"/>
      <c r="QFM96"/>
      <c r="QFN96"/>
      <c r="QFO96"/>
      <c r="QFP96"/>
      <c r="QFQ96"/>
      <c r="QFR96"/>
      <c r="QFS96"/>
      <c r="QFT96"/>
      <c r="QFU96"/>
      <c r="QFV96"/>
      <c r="QFW96"/>
      <c r="QFX96"/>
      <c r="QFY96"/>
      <c r="QFZ96"/>
      <c r="QGA96"/>
      <c r="QGB96"/>
      <c r="QGC96"/>
      <c r="QGD96"/>
      <c r="QGE96"/>
      <c r="QGF96"/>
      <c r="QGG96"/>
      <c r="QGH96"/>
      <c r="QGI96"/>
      <c r="QGJ96"/>
      <c r="QGK96"/>
      <c r="QGL96"/>
      <c r="QGM96"/>
      <c r="QGN96"/>
      <c r="QGO96"/>
      <c r="QGP96"/>
      <c r="QGQ96"/>
      <c r="QGR96"/>
      <c r="QGS96"/>
      <c r="QGT96"/>
      <c r="QGU96"/>
      <c r="QGV96"/>
      <c r="QGW96"/>
      <c r="QGX96"/>
      <c r="QGY96"/>
      <c r="QGZ96"/>
      <c r="QHA96"/>
      <c r="QHB96"/>
      <c r="QHC96"/>
      <c r="QHD96"/>
      <c r="QHE96"/>
      <c r="QHF96"/>
      <c r="QHG96"/>
      <c r="QHH96"/>
      <c r="QHI96"/>
      <c r="QHJ96"/>
      <c r="QHK96"/>
      <c r="QHL96"/>
      <c r="QHM96"/>
      <c r="QHN96"/>
      <c r="QHO96"/>
      <c r="QHP96"/>
      <c r="QHQ96"/>
      <c r="QHR96"/>
      <c r="QHS96"/>
      <c r="QHT96"/>
      <c r="QHU96"/>
      <c r="QHV96"/>
      <c r="QHW96"/>
      <c r="QHX96"/>
      <c r="QHY96"/>
      <c r="QHZ96"/>
      <c r="QIA96"/>
      <c r="QIB96"/>
      <c r="QIC96"/>
      <c r="QID96"/>
      <c r="QIE96"/>
      <c r="QIF96"/>
      <c r="QIG96"/>
      <c r="QIH96"/>
      <c r="QII96"/>
      <c r="QIJ96"/>
      <c r="QIK96"/>
      <c r="QIL96"/>
      <c r="QIM96"/>
      <c r="QIN96"/>
      <c r="QIO96"/>
      <c r="QIP96"/>
      <c r="QIQ96"/>
      <c r="QIR96"/>
      <c r="QIS96"/>
      <c r="QIT96"/>
      <c r="QIU96"/>
      <c r="QIV96"/>
      <c r="QIW96"/>
      <c r="QIX96"/>
      <c r="QIY96"/>
      <c r="QIZ96"/>
      <c r="QJA96"/>
      <c r="QJB96"/>
      <c r="QJC96"/>
      <c r="QJD96"/>
      <c r="QJE96"/>
      <c r="QJF96"/>
      <c r="QJG96"/>
      <c r="QJH96"/>
      <c r="QJI96"/>
      <c r="QJJ96"/>
      <c r="QJK96"/>
      <c r="QJL96"/>
      <c r="QJM96"/>
      <c r="QJN96"/>
      <c r="QJO96"/>
      <c r="QJP96"/>
      <c r="QJQ96"/>
      <c r="QJR96"/>
      <c r="QJS96"/>
      <c r="QJT96"/>
      <c r="QJU96"/>
      <c r="QJV96"/>
      <c r="QJW96"/>
      <c r="QJX96"/>
      <c r="QJY96"/>
      <c r="QJZ96"/>
      <c r="QKA96"/>
      <c r="QKB96"/>
      <c r="QKC96"/>
      <c r="QKD96"/>
      <c r="QKE96"/>
      <c r="QKF96"/>
      <c r="QKG96"/>
      <c r="QKH96"/>
      <c r="QKI96"/>
      <c r="QKJ96"/>
      <c r="QKK96"/>
      <c r="QKL96"/>
      <c r="QKM96"/>
      <c r="QKN96"/>
      <c r="QKO96"/>
      <c r="QKP96"/>
      <c r="QKQ96"/>
      <c r="QKR96"/>
      <c r="QKS96"/>
      <c r="QKT96"/>
      <c r="QKU96"/>
      <c r="QKV96"/>
      <c r="QKW96"/>
      <c r="QKX96"/>
      <c r="QKY96"/>
      <c r="QKZ96"/>
      <c r="QLA96"/>
      <c r="QLB96"/>
      <c r="QLC96"/>
      <c r="QLD96"/>
      <c r="QLE96"/>
      <c r="QLF96"/>
      <c r="QLG96"/>
      <c r="QLH96"/>
      <c r="QLI96"/>
      <c r="QLJ96"/>
      <c r="QLK96"/>
      <c r="QLL96"/>
      <c r="QLM96"/>
      <c r="QLN96"/>
      <c r="QLO96"/>
      <c r="QLP96"/>
      <c r="QLQ96"/>
      <c r="QLR96"/>
      <c r="QLS96"/>
      <c r="QLT96"/>
      <c r="QLU96"/>
      <c r="QLV96"/>
      <c r="QLW96"/>
      <c r="QLX96"/>
      <c r="QLY96"/>
      <c r="QLZ96"/>
      <c r="QMA96"/>
      <c r="QMB96"/>
      <c r="QMC96"/>
      <c r="QMD96"/>
      <c r="QME96"/>
      <c r="QMF96"/>
      <c r="QMG96"/>
      <c r="QMH96"/>
      <c r="QMI96"/>
      <c r="QMJ96"/>
      <c r="QMK96"/>
      <c r="QML96"/>
      <c r="QMM96"/>
      <c r="QMN96"/>
      <c r="QMO96"/>
      <c r="QMP96"/>
      <c r="QMQ96"/>
      <c r="QMR96"/>
      <c r="QMS96"/>
      <c r="QMT96"/>
      <c r="QMU96"/>
      <c r="QMV96"/>
      <c r="QMW96"/>
      <c r="QMX96"/>
      <c r="QMY96"/>
      <c r="QMZ96"/>
      <c r="QNA96"/>
      <c r="QNB96"/>
      <c r="QNC96"/>
      <c r="QND96"/>
      <c r="QNE96"/>
      <c r="QNF96"/>
      <c r="QNG96"/>
      <c r="QNH96"/>
      <c r="QNI96"/>
      <c r="QNJ96"/>
      <c r="QNK96"/>
      <c r="QNL96"/>
      <c r="QNM96"/>
      <c r="QNN96"/>
      <c r="QNO96"/>
      <c r="QNP96"/>
      <c r="QNQ96"/>
      <c r="QNR96"/>
      <c r="QNS96"/>
      <c r="QNT96"/>
      <c r="QNU96"/>
      <c r="QNV96"/>
      <c r="QNW96"/>
      <c r="QNX96"/>
      <c r="QNY96"/>
      <c r="QNZ96"/>
      <c r="QOA96"/>
      <c r="QOB96"/>
      <c r="QOC96"/>
      <c r="QOD96"/>
      <c r="QOE96"/>
      <c r="QOF96"/>
      <c r="QOG96"/>
      <c r="QOH96"/>
      <c r="QOI96"/>
      <c r="QOJ96"/>
      <c r="QOK96"/>
      <c r="QOL96"/>
      <c r="QOM96"/>
      <c r="QON96"/>
      <c r="QOO96"/>
      <c r="QOP96"/>
      <c r="QOQ96"/>
      <c r="QOR96"/>
      <c r="QOS96"/>
      <c r="QOT96"/>
      <c r="QOU96"/>
      <c r="QOV96"/>
      <c r="QOW96"/>
      <c r="QOX96"/>
      <c r="QOY96"/>
      <c r="QOZ96"/>
      <c r="QPA96"/>
      <c r="QPB96"/>
      <c r="QPC96"/>
      <c r="QPD96"/>
      <c r="QPE96"/>
      <c r="QPF96"/>
      <c r="QPG96"/>
      <c r="QPH96"/>
      <c r="QPI96"/>
      <c r="QPJ96"/>
      <c r="QPK96"/>
      <c r="QPL96"/>
      <c r="QPM96"/>
      <c r="QPN96"/>
      <c r="QPO96"/>
      <c r="QPP96"/>
      <c r="QPQ96"/>
      <c r="QPR96"/>
      <c r="QPS96"/>
      <c r="QPT96"/>
      <c r="QPU96"/>
      <c r="QPV96"/>
      <c r="QPW96"/>
      <c r="QPX96"/>
      <c r="QPY96"/>
      <c r="QPZ96"/>
      <c r="QQA96"/>
      <c r="QQB96"/>
      <c r="QQC96"/>
      <c r="QQD96"/>
      <c r="QQE96"/>
      <c r="QQF96"/>
      <c r="QQG96"/>
      <c r="QQH96"/>
      <c r="QQI96"/>
      <c r="QQJ96"/>
      <c r="QQK96"/>
      <c r="QQL96"/>
      <c r="QQM96"/>
      <c r="QQN96"/>
      <c r="QQO96"/>
      <c r="QQP96"/>
      <c r="QQQ96"/>
      <c r="QQR96"/>
      <c r="QQS96"/>
      <c r="QQT96"/>
      <c r="QQU96"/>
      <c r="QQV96"/>
      <c r="QQW96"/>
      <c r="QQX96"/>
      <c r="QQY96"/>
      <c r="QQZ96"/>
      <c r="QRA96"/>
      <c r="QRB96"/>
      <c r="QRC96"/>
      <c r="QRD96"/>
      <c r="QRE96"/>
      <c r="QRF96"/>
      <c r="QRG96"/>
      <c r="QRH96"/>
      <c r="QRI96"/>
      <c r="QRJ96"/>
      <c r="QRK96"/>
      <c r="QRL96"/>
      <c r="QRM96"/>
      <c r="QRN96"/>
      <c r="QRO96"/>
      <c r="QRP96"/>
      <c r="QRQ96"/>
      <c r="QRR96"/>
      <c r="QRS96"/>
      <c r="QRT96"/>
      <c r="QRU96"/>
      <c r="QRV96"/>
      <c r="QRW96"/>
      <c r="QRX96"/>
      <c r="QRY96"/>
      <c r="QRZ96"/>
      <c r="QSA96"/>
      <c r="QSB96"/>
      <c r="QSC96"/>
      <c r="QSD96"/>
      <c r="QSE96"/>
      <c r="QSF96"/>
      <c r="QSG96"/>
      <c r="QSH96"/>
      <c r="QSI96"/>
      <c r="QSJ96"/>
      <c r="QSK96"/>
      <c r="QSL96"/>
      <c r="QSM96"/>
      <c r="QSN96"/>
      <c r="QSO96"/>
      <c r="QSP96"/>
      <c r="QSQ96"/>
      <c r="QSR96"/>
      <c r="QSS96"/>
      <c r="QST96"/>
      <c r="QSU96"/>
      <c r="QSV96"/>
      <c r="QSW96"/>
      <c r="QSX96"/>
      <c r="QSY96"/>
      <c r="QSZ96"/>
      <c r="QTA96"/>
      <c r="QTB96"/>
      <c r="QTC96"/>
      <c r="QTD96"/>
      <c r="QTE96"/>
      <c r="QTF96"/>
      <c r="QTG96"/>
      <c r="QTH96"/>
      <c r="QTI96"/>
      <c r="QTJ96"/>
      <c r="QTK96"/>
      <c r="QTL96"/>
      <c r="QTM96"/>
      <c r="QTN96"/>
      <c r="QTO96"/>
      <c r="QTP96"/>
      <c r="QTQ96"/>
      <c r="QTR96"/>
      <c r="QTS96"/>
      <c r="QTT96"/>
      <c r="QTU96"/>
      <c r="QTV96"/>
      <c r="QTW96"/>
      <c r="QTX96"/>
      <c r="QTY96"/>
      <c r="QTZ96"/>
      <c r="QUA96"/>
      <c r="QUB96"/>
      <c r="QUC96"/>
      <c r="QUD96"/>
      <c r="QUE96"/>
      <c r="QUF96"/>
      <c r="QUG96"/>
      <c r="QUH96"/>
      <c r="QUI96"/>
      <c r="QUJ96"/>
      <c r="QUK96"/>
      <c r="QUL96"/>
      <c r="QUM96"/>
      <c r="QUN96"/>
      <c r="QUO96"/>
      <c r="QUP96"/>
      <c r="QUQ96"/>
      <c r="QUR96"/>
      <c r="QUS96"/>
      <c r="QUT96"/>
      <c r="QUU96"/>
      <c r="QUV96"/>
      <c r="QUW96"/>
      <c r="QUX96"/>
      <c r="QUY96"/>
      <c r="QUZ96"/>
      <c r="QVA96"/>
      <c r="QVB96"/>
      <c r="QVC96"/>
      <c r="QVD96"/>
      <c r="QVE96"/>
      <c r="QVF96"/>
      <c r="QVG96"/>
      <c r="QVH96"/>
      <c r="QVI96"/>
      <c r="QVJ96"/>
      <c r="QVK96"/>
      <c r="QVL96"/>
      <c r="QVM96"/>
      <c r="QVN96"/>
      <c r="QVO96"/>
      <c r="QVP96"/>
      <c r="QVQ96"/>
      <c r="QVR96"/>
      <c r="QVS96"/>
      <c r="QVT96"/>
      <c r="QVU96"/>
      <c r="QVV96"/>
      <c r="QVW96"/>
      <c r="QVX96"/>
      <c r="QVY96"/>
      <c r="QVZ96"/>
      <c r="QWA96"/>
      <c r="QWB96"/>
      <c r="QWC96"/>
      <c r="QWD96"/>
      <c r="QWE96"/>
      <c r="QWF96"/>
      <c r="QWG96"/>
      <c r="QWH96"/>
      <c r="QWI96"/>
      <c r="QWJ96"/>
      <c r="QWK96"/>
      <c r="QWL96"/>
      <c r="QWM96"/>
      <c r="QWN96"/>
      <c r="QWO96"/>
      <c r="QWP96"/>
      <c r="QWQ96"/>
      <c r="QWR96"/>
      <c r="QWS96"/>
      <c r="QWT96"/>
      <c r="QWU96"/>
      <c r="QWV96"/>
      <c r="QWW96"/>
      <c r="QWX96"/>
      <c r="QWY96"/>
      <c r="QWZ96"/>
      <c r="QXA96"/>
      <c r="QXB96"/>
      <c r="QXC96"/>
      <c r="QXD96"/>
      <c r="QXE96"/>
      <c r="QXF96"/>
      <c r="QXG96"/>
      <c r="QXH96"/>
      <c r="QXI96"/>
      <c r="QXJ96"/>
      <c r="QXK96"/>
      <c r="QXL96"/>
      <c r="QXM96"/>
      <c r="QXN96"/>
      <c r="QXO96"/>
      <c r="QXP96"/>
      <c r="QXQ96"/>
      <c r="QXR96"/>
      <c r="QXS96"/>
      <c r="QXT96"/>
      <c r="QXU96"/>
      <c r="QXV96"/>
      <c r="QXW96"/>
      <c r="QXX96"/>
      <c r="QXY96"/>
      <c r="QXZ96"/>
      <c r="QYA96"/>
      <c r="QYB96"/>
      <c r="QYC96"/>
      <c r="QYD96"/>
      <c r="QYE96"/>
      <c r="QYF96"/>
      <c r="QYG96"/>
      <c r="QYH96"/>
      <c r="QYI96"/>
      <c r="QYJ96"/>
      <c r="QYK96"/>
      <c r="QYL96"/>
      <c r="QYM96"/>
      <c r="QYN96"/>
      <c r="QYO96"/>
      <c r="QYP96"/>
      <c r="QYQ96"/>
      <c r="QYR96"/>
      <c r="QYS96"/>
      <c r="QYT96"/>
      <c r="QYU96"/>
      <c r="QYV96"/>
      <c r="QYW96"/>
      <c r="QYX96"/>
      <c r="QYY96"/>
      <c r="QYZ96"/>
      <c r="QZA96"/>
      <c r="QZB96"/>
      <c r="QZC96"/>
      <c r="QZD96"/>
      <c r="QZE96"/>
      <c r="QZF96"/>
      <c r="QZG96"/>
      <c r="QZH96"/>
      <c r="QZI96"/>
      <c r="QZJ96"/>
      <c r="QZK96"/>
      <c r="QZL96"/>
      <c r="QZM96"/>
      <c r="QZN96"/>
      <c r="QZO96"/>
      <c r="QZP96"/>
      <c r="QZQ96"/>
      <c r="QZR96"/>
      <c r="QZS96"/>
      <c r="QZT96"/>
      <c r="QZU96"/>
      <c r="QZV96"/>
      <c r="QZW96"/>
      <c r="QZX96"/>
      <c r="QZY96"/>
      <c r="QZZ96"/>
      <c r="RAA96"/>
      <c r="RAB96"/>
      <c r="RAC96"/>
      <c r="RAD96"/>
      <c r="RAE96"/>
      <c r="RAF96"/>
      <c r="RAG96"/>
      <c r="RAH96"/>
      <c r="RAI96"/>
      <c r="RAJ96"/>
      <c r="RAK96"/>
      <c r="RAL96"/>
      <c r="RAM96"/>
      <c r="RAN96"/>
      <c r="RAO96"/>
      <c r="RAP96"/>
      <c r="RAQ96"/>
      <c r="RAR96"/>
      <c r="RAS96"/>
      <c r="RAT96"/>
      <c r="RAU96"/>
      <c r="RAV96"/>
      <c r="RAW96"/>
      <c r="RAX96"/>
      <c r="RAY96"/>
      <c r="RAZ96"/>
      <c r="RBA96"/>
      <c r="RBB96"/>
      <c r="RBC96"/>
      <c r="RBD96"/>
      <c r="RBE96"/>
      <c r="RBF96"/>
      <c r="RBG96"/>
      <c r="RBH96"/>
      <c r="RBI96"/>
      <c r="RBJ96"/>
      <c r="RBK96"/>
      <c r="RBL96"/>
      <c r="RBM96"/>
      <c r="RBN96"/>
      <c r="RBO96"/>
      <c r="RBP96"/>
      <c r="RBQ96"/>
      <c r="RBR96"/>
      <c r="RBS96"/>
      <c r="RBT96"/>
      <c r="RBU96"/>
      <c r="RBV96"/>
      <c r="RBW96"/>
      <c r="RBX96"/>
      <c r="RBY96"/>
      <c r="RBZ96"/>
      <c r="RCA96"/>
      <c r="RCB96"/>
      <c r="RCC96"/>
      <c r="RCD96"/>
      <c r="RCE96"/>
      <c r="RCF96"/>
      <c r="RCG96"/>
      <c r="RCH96"/>
      <c r="RCI96"/>
      <c r="RCJ96"/>
      <c r="RCK96"/>
      <c r="RCL96"/>
      <c r="RCM96"/>
      <c r="RCN96"/>
      <c r="RCO96"/>
      <c r="RCP96"/>
      <c r="RCQ96"/>
      <c r="RCR96"/>
      <c r="RCS96"/>
      <c r="RCT96"/>
      <c r="RCU96"/>
      <c r="RCV96"/>
      <c r="RCW96"/>
      <c r="RCX96"/>
      <c r="RCY96"/>
      <c r="RCZ96"/>
      <c r="RDA96"/>
      <c r="RDB96"/>
      <c r="RDC96"/>
      <c r="RDD96"/>
      <c r="RDE96"/>
      <c r="RDF96"/>
      <c r="RDG96"/>
      <c r="RDH96"/>
      <c r="RDI96"/>
      <c r="RDJ96"/>
      <c r="RDK96"/>
      <c r="RDL96"/>
      <c r="RDM96"/>
      <c r="RDN96"/>
      <c r="RDO96"/>
      <c r="RDP96"/>
      <c r="RDQ96"/>
      <c r="RDR96"/>
      <c r="RDS96"/>
      <c r="RDT96"/>
      <c r="RDU96"/>
      <c r="RDV96"/>
      <c r="RDW96"/>
      <c r="RDX96"/>
      <c r="RDY96"/>
      <c r="RDZ96"/>
      <c r="REA96"/>
      <c r="REB96"/>
      <c r="REC96"/>
      <c r="RED96"/>
      <c r="REE96"/>
      <c r="REF96"/>
      <c r="REG96"/>
      <c r="REH96"/>
      <c r="REI96"/>
      <c r="REJ96"/>
      <c r="REK96"/>
      <c r="REL96"/>
      <c r="REM96"/>
      <c r="REN96"/>
      <c r="REO96"/>
      <c r="REP96"/>
      <c r="REQ96"/>
      <c r="RER96"/>
      <c r="RES96"/>
      <c r="RET96"/>
      <c r="REU96"/>
      <c r="REV96"/>
      <c r="REW96"/>
      <c r="REX96"/>
      <c r="REY96"/>
      <c r="REZ96"/>
      <c r="RFA96"/>
      <c r="RFB96"/>
      <c r="RFC96"/>
      <c r="RFD96"/>
      <c r="RFE96"/>
      <c r="RFF96"/>
      <c r="RFG96"/>
      <c r="RFH96"/>
      <c r="RFI96"/>
      <c r="RFJ96"/>
      <c r="RFK96"/>
      <c r="RFL96"/>
      <c r="RFM96"/>
      <c r="RFN96"/>
      <c r="RFO96"/>
      <c r="RFP96"/>
      <c r="RFQ96"/>
      <c r="RFR96"/>
      <c r="RFS96"/>
      <c r="RFT96"/>
      <c r="RFU96"/>
      <c r="RFV96"/>
      <c r="RFW96"/>
      <c r="RFX96"/>
      <c r="RFY96"/>
      <c r="RFZ96"/>
      <c r="RGA96"/>
      <c r="RGB96"/>
      <c r="RGC96"/>
      <c r="RGD96"/>
      <c r="RGE96"/>
      <c r="RGF96"/>
      <c r="RGG96"/>
      <c r="RGH96"/>
      <c r="RGI96"/>
      <c r="RGJ96"/>
      <c r="RGK96"/>
      <c r="RGL96"/>
      <c r="RGM96"/>
      <c r="RGN96"/>
      <c r="RGO96"/>
      <c r="RGP96"/>
      <c r="RGQ96"/>
      <c r="RGR96"/>
      <c r="RGS96"/>
      <c r="RGT96"/>
      <c r="RGU96"/>
      <c r="RGV96"/>
      <c r="RGW96"/>
      <c r="RGX96"/>
      <c r="RGY96"/>
      <c r="RGZ96"/>
      <c r="RHA96"/>
      <c r="RHB96"/>
      <c r="RHC96"/>
      <c r="RHD96"/>
      <c r="RHE96"/>
      <c r="RHF96"/>
      <c r="RHG96"/>
      <c r="RHH96"/>
      <c r="RHI96"/>
      <c r="RHJ96"/>
      <c r="RHK96"/>
      <c r="RHL96"/>
      <c r="RHM96"/>
      <c r="RHN96"/>
      <c r="RHO96"/>
      <c r="RHP96"/>
      <c r="RHQ96"/>
      <c r="RHR96"/>
      <c r="RHS96"/>
      <c r="RHT96"/>
      <c r="RHU96"/>
      <c r="RHV96"/>
      <c r="RHW96"/>
      <c r="RHX96"/>
      <c r="RHY96"/>
      <c r="RHZ96"/>
      <c r="RIA96"/>
      <c r="RIB96"/>
      <c r="RIC96"/>
      <c r="RID96"/>
      <c r="RIE96"/>
      <c r="RIF96"/>
      <c r="RIG96"/>
      <c r="RIH96"/>
      <c r="RII96"/>
      <c r="RIJ96"/>
      <c r="RIK96"/>
      <c r="RIL96"/>
      <c r="RIM96"/>
      <c r="RIN96"/>
      <c r="RIO96"/>
      <c r="RIP96"/>
      <c r="RIQ96"/>
      <c r="RIR96"/>
      <c r="RIS96"/>
      <c r="RIT96"/>
      <c r="RIU96"/>
      <c r="RIV96"/>
      <c r="RIW96"/>
      <c r="RIX96"/>
      <c r="RIY96"/>
      <c r="RIZ96"/>
      <c r="RJA96"/>
      <c r="RJB96"/>
      <c r="RJC96"/>
      <c r="RJD96"/>
      <c r="RJE96"/>
      <c r="RJF96"/>
      <c r="RJG96"/>
      <c r="RJH96"/>
      <c r="RJI96"/>
      <c r="RJJ96"/>
      <c r="RJK96"/>
      <c r="RJL96"/>
      <c r="RJM96"/>
      <c r="RJN96"/>
      <c r="RJO96"/>
      <c r="RJP96"/>
      <c r="RJQ96"/>
      <c r="RJR96"/>
      <c r="RJS96"/>
      <c r="RJT96"/>
      <c r="RJU96"/>
      <c r="RJV96"/>
      <c r="RJW96"/>
      <c r="RJX96"/>
      <c r="RJY96"/>
      <c r="RJZ96"/>
      <c r="RKA96"/>
      <c r="RKB96"/>
      <c r="RKC96"/>
      <c r="RKD96"/>
      <c r="RKE96"/>
      <c r="RKF96"/>
      <c r="RKG96"/>
      <c r="RKH96"/>
      <c r="RKI96"/>
      <c r="RKJ96"/>
      <c r="RKK96"/>
      <c r="RKL96"/>
      <c r="RKM96"/>
      <c r="RKN96"/>
      <c r="RKO96"/>
      <c r="RKP96"/>
      <c r="RKQ96"/>
      <c r="RKR96"/>
      <c r="RKS96"/>
      <c r="RKT96"/>
      <c r="RKU96"/>
      <c r="RKV96"/>
      <c r="RKW96"/>
      <c r="RKX96"/>
      <c r="RKY96"/>
      <c r="RKZ96"/>
      <c r="RLA96"/>
      <c r="RLB96"/>
      <c r="RLC96"/>
      <c r="RLD96"/>
      <c r="RLE96"/>
      <c r="RLF96"/>
      <c r="RLG96"/>
      <c r="RLH96"/>
      <c r="RLI96"/>
      <c r="RLJ96"/>
      <c r="RLK96"/>
      <c r="RLL96"/>
      <c r="RLM96"/>
      <c r="RLN96"/>
      <c r="RLO96"/>
      <c r="RLP96"/>
      <c r="RLQ96"/>
      <c r="RLR96"/>
      <c r="RLS96"/>
      <c r="RLT96"/>
      <c r="RLU96"/>
      <c r="RLV96"/>
      <c r="RLW96"/>
      <c r="RLX96"/>
      <c r="RLY96"/>
      <c r="RLZ96"/>
      <c r="RMA96"/>
      <c r="RMB96"/>
      <c r="RMC96"/>
      <c r="RMD96"/>
      <c r="RME96"/>
      <c r="RMF96"/>
      <c r="RMG96"/>
      <c r="RMH96"/>
      <c r="RMI96"/>
      <c r="RMJ96"/>
      <c r="RMK96"/>
      <c r="RML96"/>
      <c r="RMM96"/>
      <c r="RMN96"/>
      <c r="RMO96"/>
      <c r="RMP96"/>
      <c r="RMQ96"/>
      <c r="RMR96"/>
      <c r="RMS96"/>
      <c r="RMT96"/>
      <c r="RMU96"/>
      <c r="RMV96"/>
      <c r="RMW96"/>
      <c r="RMX96"/>
      <c r="RMY96"/>
      <c r="RMZ96"/>
      <c r="RNA96"/>
      <c r="RNB96"/>
      <c r="RNC96"/>
      <c r="RND96"/>
      <c r="RNE96"/>
      <c r="RNF96"/>
      <c r="RNG96"/>
      <c r="RNH96"/>
      <c r="RNI96"/>
      <c r="RNJ96"/>
      <c r="RNK96"/>
      <c r="RNL96"/>
      <c r="RNM96"/>
      <c r="RNN96"/>
      <c r="RNO96"/>
      <c r="RNP96"/>
      <c r="RNQ96"/>
      <c r="RNR96"/>
      <c r="RNS96"/>
      <c r="RNT96"/>
      <c r="RNU96"/>
      <c r="RNV96"/>
      <c r="RNW96"/>
      <c r="RNX96"/>
      <c r="RNY96"/>
      <c r="RNZ96"/>
      <c r="ROA96"/>
      <c r="ROB96"/>
      <c r="ROC96"/>
      <c r="ROD96"/>
      <c r="ROE96"/>
      <c r="ROF96"/>
      <c r="ROG96"/>
      <c r="ROH96"/>
      <c r="ROI96"/>
      <c r="ROJ96"/>
      <c r="ROK96"/>
      <c r="ROL96"/>
      <c r="ROM96"/>
      <c r="RON96"/>
      <c r="ROO96"/>
      <c r="ROP96"/>
      <c r="ROQ96"/>
      <c r="ROR96"/>
      <c r="ROS96"/>
      <c r="ROT96"/>
      <c r="ROU96"/>
      <c r="ROV96"/>
      <c r="ROW96"/>
      <c r="ROX96"/>
      <c r="ROY96"/>
      <c r="ROZ96"/>
      <c r="RPA96"/>
      <c r="RPB96"/>
      <c r="RPC96"/>
      <c r="RPD96"/>
      <c r="RPE96"/>
      <c r="RPF96"/>
      <c r="RPG96"/>
      <c r="RPH96"/>
      <c r="RPI96"/>
      <c r="RPJ96"/>
      <c r="RPK96"/>
      <c r="RPL96"/>
      <c r="RPM96"/>
      <c r="RPN96"/>
      <c r="RPO96"/>
      <c r="RPP96"/>
      <c r="RPQ96"/>
      <c r="RPR96"/>
      <c r="RPS96"/>
      <c r="RPT96"/>
      <c r="RPU96"/>
      <c r="RPV96"/>
      <c r="RPW96"/>
      <c r="RPX96"/>
      <c r="RPY96"/>
      <c r="RPZ96"/>
      <c r="RQA96"/>
      <c r="RQB96"/>
      <c r="RQC96"/>
      <c r="RQD96"/>
      <c r="RQE96"/>
      <c r="RQF96"/>
      <c r="RQG96"/>
      <c r="RQH96"/>
      <c r="RQI96"/>
      <c r="RQJ96"/>
      <c r="RQK96"/>
      <c r="RQL96"/>
      <c r="RQM96"/>
      <c r="RQN96"/>
      <c r="RQO96"/>
      <c r="RQP96"/>
      <c r="RQQ96"/>
      <c r="RQR96"/>
      <c r="RQS96"/>
      <c r="RQT96"/>
      <c r="RQU96"/>
      <c r="RQV96"/>
      <c r="RQW96"/>
      <c r="RQX96"/>
      <c r="RQY96"/>
      <c r="RQZ96"/>
      <c r="RRA96"/>
      <c r="RRB96"/>
      <c r="RRC96"/>
      <c r="RRD96"/>
      <c r="RRE96"/>
      <c r="RRF96"/>
      <c r="RRG96"/>
      <c r="RRH96"/>
      <c r="RRI96"/>
      <c r="RRJ96"/>
      <c r="RRK96"/>
      <c r="RRL96"/>
      <c r="RRM96"/>
      <c r="RRN96"/>
      <c r="RRO96"/>
      <c r="RRP96"/>
      <c r="RRQ96"/>
      <c r="RRR96"/>
      <c r="RRS96"/>
      <c r="RRT96"/>
      <c r="RRU96"/>
      <c r="RRV96"/>
      <c r="RRW96"/>
      <c r="RRX96"/>
      <c r="RRY96"/>
      <c r="RRZ96"/>
      <c r="RSA96"/>
      <c r="RSB96"/>
      <c r="RSC96"/>
      <c r="RSD96"/>
      <c r="RSE96"/>
      <c r="RSF96"/>
      <c r="RSG96"/>
      <c r="RSH96"/>
      <c r="RSI96"/>
      <c r="RSJ96"/>
      <c r="RSK96"/>
      <c r="RSL96"/>
      <c r="RSM96"/>
      <c r="RSN96"/>
      <c r="RSO96"/>
      <c r="RSP96"/>
      <c r="RSQ96"/>
      <c r="RSR96"/>
      <c r="RSS96"/>
      <c r="RST96"/>
      <c r="RSU96"/>
      <c r="RSV96"/>
      <c r="RSW96"/>
      <c r="RSX96"/>
      <c r="RSY96"/>
      <c r="RSZ96"/>
      <c r="RTA96"/>
      <c r="RTB96"/>
      <c r="RTC96"/>
      <c r="RTD96"/>
      <c r="RTE96"/>
      <c r="RTF96"/>
      <c r="RTG96"/>
      <c r="RTH96"/>
      <c r="RTI96"/>
      <c r="RTJ96"/>
      <c r="RTK96"/>
      <c r="RTL96"/>
      <c r="RTM96"/>
      <c r="RTN96"/>
      <c r="RTO96"/>
      <c r="RTP96"/>
      <c r="RTQ96"/>
      <c r="RTR96"/>
      <c r="RTS96"/>
      <c r="RTT96"/>
      <c r="RTU96"/>
      <c r="RTV96"/>
      <c r="RTW96"/>
      <c r="RTX96"/>
      <c r="RTY96"/>
      <c r="RTZ96"/>
      <c r="RUA96"/>
      <c r="RUB96"/>
      <c r="RUC96"/>
      <c r="RUD96"/>
      <c r="RUE96"/>
      <c r="RUF96"/>
      <c r="RUG96"/>
      <c r="RUH96"/>
      <c r="RUI96"/>
      <c r="RUJ96"/>
      <c r="RUK96"/>
      <c r="RUL96"/>
      <c r="RUM96"/>
      <c r="RUN96"/>
      <c r="RUO96"/>
      <c r="RUP96"/>
      <c r="RUQ96"/>
      <c r="RUR96"/>
      <c r="RUS96"/>
      <c r="RUT96"/>
      <c r="RUU96"/>
      <c r="RUV96"/>
      <c r="RUW96"/>
      <c r="RUX96"/>
      <c r="RUY96"/>
      <c r="RUZ96"/>
      <c r="RVA96"/>
      <c r="RVB96"/>
      <c r="RVC96"/>
      <c r="RVD96"/>
      <c r="RVE96"/>
      <c r="RVF96"/>
      <c r="RVG96"/>
      <c r="RVH96"/>
      <c r="RVI96"/>
      <c r="RVJ96"/>
      <c r="RVK96"/>
      <c r="RVL96"/>
      <c r="RVM96"/>
      <c r="RVN96"/>
      <c r="RVO96"/>
      <c r="RVP96"/>
      <c r="RVQ96"/>
      <c r="RVR96"/>
      <c r="RVS96"/>
      <c r="RVT96"/>
      <c r="RVU96"/>
      <c r="RVV96"/>
      <c r="RVW96"/>
      <c r="RVX96"/>
      <c r="RVY96"/>
      <c r="RVZ96"/>
      <c r="RWA96"/>
      <c r="RWB96"/>
      <c r="RWC96"/>
      <c r="RWD96"/>
      <c r="RWE96"/>
      <c r="RWF96"/>
      <c r="RWG96"/>
      <c r="RWH96"/>
      <c r="RWI96"/>
      <c r="RWJ96"/>
      <c r="RWK96"/>
      <c r="RWL96"/>
      <c r="RWM96"/>
      <c r="RWN96"/>
      <c r="RWO96"/>
      <c r="RWP96"/>
      <c r="RWQ96"/>
      <c r="RWR96"/>
      <c r="RWS96"/>
      <c r="RWT96"/>
      <c r="RWU96"/>
      <c r="RWV96"/>
      <c r="RWW96"/>
      <c r="RWX96"/>
      <c r="RWY96"/>
      <c r="RWZ96"/>
      <c r="RXA96"/>
      <c r="RXB96"/>
      <c r="RXC96"/>
      <c r="RXD96"/>
      <c r="RXE96"/>
      <c r="RXF96"/>
      <c r="RXG96"/>
      <c r="RXH96"/>
      <c r="RXI96"/>
      <c r="RXJ96"/>
      <c r="RXK96"/>
      <c r="RXL96"/>
      <c r="RXM96"/>
      <c r="RXN96"/>
      <c r="RXO96"/>
      <c r="RXP96"/>
      <c r="RXQ96"/>
      <c r="RXR96"/>
      <c r="RXS96"/>
      <c r="RXT96"/>
      <c r="RXU96"/>
      <c r="RXV96"/>
      <c r="RXW96"/>
      <c r="RXX96"/>
      <c r="RXY96"/>
      <c r="RXZ96"/>
      <c r="RYA96"/>
      <c r="RYB96"/>
      <c r="RYC96"/>
      <c r="RYD96"/>
      <c r="RYE96"/>
      <c r="RYF96"/>
      <c r="RYG96"/>
      <c r="RYH96"/>
      <c r="RYI96"/>
      <c r="RYJ96"/>
      <c r="RYK96"/>
      <c r="RYL96"/>
      <c r="RYM96"/>
      <c r="RYN96"/>
      <c r="RYO96"/>
      <c r="RYP96"/>
      <c r="RYQ96"/>
      <c r="RYR96"/>
      <c r="RYS96"/>
      <c r="RYT96"/>
      <c r="RYU96"/>
      <c r="RYV96"/>
      <c r="RYW96"/>
      <c r="RYX96"/>
      <c r="RYY96"/>
      <c r="RYZ96"/>
      <c r="RZA96"/>
      <c r="RZB96"/>
      <c r="RZC96"/>
      <c r="RZD96"/>
      <c r="RZE96"/>
      <c r="RZF96"/>
      <c r="RZG96"/>
      <c r="RZH96"/>
      <c r="RZI96"/>
      <c r="RZJ96"/>
      <c r="RZK96"/>
      <c r="RZL96"/>
      <c r="RZM96"/>
      <c r="RZN96"/>
      <c r="RZO96"/>
      <c r="RZP96"/>
      <c r="RZQ96"/>
      <c r="RZR96"/>
      <c r="RZS96"/>
      <c r="RZT96"/>
      <c r="RZU96"/>
      <c r="RZV96"/>
      <c r="RZW96"/>
      <c r="RZX96"/>
      <c r="RZY96"/>
      <c r="RZZ96"/>
      <c r="SAA96"/>
      <c r="SAB96"/>
      <c r="SAC96"/>
      <c r="SAD96"/>
      <c r="SAE96"/>
      <c r="SAF96"/>
      <c r="SAG96"/>
      <c r="SAH96"/>
      <c r="SAI96"/>
      <c r="SAJ96"/>
      <c r="SAK96"/>
      <c r="SAL96"/>
      <c r="SAM96"/>
      <c r="SAN96"/>
      <c r="SAO96"/>
      <c r="SAP96"/>
      <c r="SAQ96"/>
      <c r="SAR96"/>
      <c r="SAS96"/>
      <c r="SAT96"/>
      <c r="SAU96"/>
      <c r="SAV96"/>
      <c r="SAW96"/>
      <c r="SAX96"/>
      <c r="SAY96"/>
      <c r="SAZ96"/>
      <c r="SBA96"/>
      <c r="SBB96"/>
      <c r="SBC96"/>
      <c r="SBD96"/>
      <c r="SBE96"/>
      <c r="SBF96"/>
      <c r="SBG96"/>
      <c r="SBH96"/>
      <c r="SBI96"/>
      <c r="SBJ96"/>
      <c r="SBK96"/>
      <c r="SBL96"/>
      <c r="SBM96"/>
      <c r="SBN96"/>
      <c r="SBO96"/>
      <c r="SBP96"/>
      <c r="SBQ96"/>
      <c r="SBR96"/>
      <c r="SBS96"/>
      <c r="SBT96"/>
      <c r="SBU96"/>
      <c r="SBV96"/>
      <c r="SBW96"/>
      <c r="SBX96"/>
      <c r="SBY96"/>
      <c r="SBZ96"/>
      <c r="SCA96"/>
      <c r="SCB96"/>
      <c r="SCC96"/>
      <c r="SCD96"/>
      <c r="SCE96"/>
      <c r="SCF96"/>
      <c r="SCG96"/>
      <c r="SCH96"/>
      <c r="SCI96"/>
      <c r="SCJ96"/>
      <c r="SCK96"/>
      <c r="SCL96"/>
      <c r="SCM96"/>
      <c r="SCN96"/>
      <c r="SCO96"/>
      <c r="SCP96"/>
      <c r="SCQ96"/>
      <c r="SCR96"/>
      <c r="SCS96"/>
      <c r="SCT96"/>
      <c r="SCU96"/>
      <c r="SCV96"/>
      <c r="SCW96"/>
      <c r="SCX96"/>
      <c r="SCY96"/>
      <c r="SCZ96"/>
      <c r="SDA96"/>
      <c r="SDB96"/>
      <c r="SDC96"/>
      <c r="SDD96"/>
      <c r="SDE96"/>
      <c r="SDF96"/>
      <c r="SDG96"/>
      <c r="SDH96"/>
      <c r="SDI96"/>
      <c r="SDJ96"/>
      <c r="SDK96"/>
      <c r="SDL96"/>
      <c r="SDM96"/>
      <c r="SDN96"/>
      <c r="SDO96"/>
      <c r="SDP96"/>
      <c r="SDQ96"/>
      <c r="SDR96"/>
      <c r="SDS96"/>
      <c r="SDT96"/>
      <c r="SDU96"/>
      <c r="SDV96"/>
      <c r="SDW96"/>
      <c r="SDX96"/>
      <c r="SDY96"/>
      <c r="SDZ96"/>
      <c r="SEA96"/>
      <c r="SEB96"/>
      <c r="SEC96"/>
      <c r="SED96"/>
      <c r="SEE96"/>
      <c r="SEF96"/>
      <c r="SEG96"/>
      <c r="SEH96"/>
      <c r="SEI96"/>
      <c r="SEJ96"/>
      <c r="SEK96"/>
      <c r="SEL96"/>
      <c r="SEM96"/>
      <c r="SEN96"/>
      <c r="SEO96"/>
      <c r="SEP96"/>
      <c r="SEQ96"/>
      <c r="SER96"/>
      <c r="SES96"/>
      <c r="SET96"/>
      <c r="SEU96"/>
      <c r="SEV96"/>
      <c r="SEW96"/>
      <c r="SEX96"/>
      <c r="SEY96"/>
      <c r="SEZ96"/>
      <c r="SFA96"/>
      <c r="SFB96"/>
      <c r="SFC96"/>
      <c r="SFD96"/>
      <c r="SFE96"/>
      <c r="SFF96"/>
      <c r="SFG96"/>
      <c r="SFH96"/>
      <c r="SFI96"/>
      <c r="SFJ96"/>
      <c r="SFK96"/>
      <c r="SFL96"/>
      <c r="SFM96"/>
      <c r="SFN96"/>
      <c r="SFO96"/>
      <c r="SFP96"/>
      <c r="SFQ96"/>
      <c r="SFR96"/>
      <c r="SFS96"/>
      <c r="SFT96"/>
      <c r="SFU96"/>
      <c r="SFV96"/>
      <c r="SFW96"/>
      <c r="SFX96"/>
      <c r="SFY96"/>
      <c r="SFZ96"/>
      <c r="SGA96"/>
      <c r="SGB96"/>
      <c r="SGC96"/>
      <c r="SGD96"/>
      <c r="SGE96"/>
      <c r="SGF96"/>
      <c r="SGG96"/>
      <c r="SGH96"/>
      <c r="SGI96"/>
      <c r="SGJ96"/>
      <c r="SGK96"/>
      <c r="SGL96"/>
      <c r="SGM96"/>
      <c r="SGN96"/>
      <c r="SGO96"/>
      <c r="SGP96"/>
      <c r="SGQ96"/>
      <c r="SGR96"/>
      <c r="SGS96"/>
      <c r="SGT96"/>
      <c r="SGU96"/>
      <c r="SGV96"/>
      <c r="SGW96"/>
      <c r="SGX96"/>
      <c r="SGY96"/>
      <c r="SGZ96"/>
      <c r="SHA96"/>
      <c r="SHB96"/>
      <c r="SHC96"/>
      <c r="SHD96"/>
      <c r="SHE96"/>
      <c r="SHF96"/>
      <c r="SHG96"/>
      <c r="SHH96"/>
      <c r="SHI96"/>
      <c r="SHJ96"/>
      <c r="SHK96"/>
      <c r="SHL96"/>
      <c r="SHM96"/>
      <c r="SHN96"/>
      <c r="SHO96"/>
      <c r="SHP96"/>
      <c r="SHQ96"/>
      <c r="SHR96"/>
      <c r="SHS96"/>
      <c r="SHT96"/>
      <c r="SHU96"/>
      <c r="SHV96"/>
      <c r="SHW96"/>
      <c r="SHX96"/>
      <c r="SHY96"/>
      <c r="SHZ96"/>
      <c r="SIA96"/>
      <c r="SIB96"/>
      <c r="SIC96"/>
      <c r="SID96"/>
      <c r="SIE96"/>
      <c r="SIF96"/>
      <c r="SIG96"/>
      <c r="SIH96"/>
      <c r="SII96"/>
      <c r="SIJ96"/>
      <c r="SIK96"/>
      <c r="SIL96"/>
      <c r="SIM96"/>
      <c r="SIN96"/>
      <c r="SIO96"/>
      <c r="SIP96"/>
      <c r="SIQ96"/>
      <c r="SIR96"/>
      <c r="SIS96"/>
      <c r="SIT96"/>
      <c r="SIU96"/>
      <c r="SIV96"/>
      <c r="SIW96"/>
      <c r="SIX96"/>
      <c r="SIY96"/>
      <c r="SIZ96"/>
      <c r="SJA96"/>
      <c r="SJB96"/>
      <c r="SJC96"/>
      <c r="SJD96"/>
      <c r="SJE96"/>
      <c r="SJF96"/>
      <c r="SJG96"/>
      <c r="SJH96"/>
      <c r="SJI96"/>
      <c r="SJJ96"/>
      <c r="SJK96"/>
      <c r="SJL96"/>
      <c r="SJM96"/>
      <c r="SJN96"/>
      <c r="SJO96"/>
      <c r="SJP96"/>
      <c r="SJQ96"/>
      <c r="SJR96"/>
      <c r="SJS96"/>
      <c r="SJT96"/>
      <c r="SJU96"/>
      <c r="SJV96"/>
      <c r="SJW96"/>
      <c r="SJX96"/>
      <c r="SJY96"/>
      <c r="SJZ96"/>
      <c r="SKA96"/>
      <c r="SKB96"/>
      <c r="SKC96"/>
      <c r="SKD96"/>
      <c r="SKE96"/>
      <c r="SKF96"/>
      <c r="SKG96"/>
      <c r="SKH96"/>
      <c r="SKI96"/>
      <c r="SKJ96"/>
      <c r="SKK96"/>
      <c r="SKL96"/>
      <c r="SKM96"/>
      <c r="SKN96"/>
      <c r="SKO96"/>
      <c r="SKP96"/>
      <c r="SKQ96"/>
      <c r="SKR96"/>
      <c r="SKS96"/>
      <c r="SKT96"/>
      <c r="SKU96"/>
      <c r="SKV96"/>
      <c r="SKW96"/>
      <c r="SKX96"/>
      <c r="SKY96"/>
      <c r="SKZ96"/>
      <c r="SLA96"/>
      <c r="SLB96"/>
      <c r="SLC96"/>
      <c r="SLD96"/>
      <c r="SLE96"/>
      <c r="SLF96"/>
      <c r="SLG96"/>
      <c r="SLH96"/>
      <c r="SLI96"/>
      <c r="SLJ96"/>
      <c r="SLK96"/>
      <c r="SLL96"/>
      <c r="SLM96"/>
      <c r="SLN96"/>
      <c r="SLO96"/>
      <c r="SLP96"/>
      <c r="SLQ96"/>
      <c r="SLR96"/>
      <c r="SLS96"/>
      <c r="SLT96"/>
      <c r="SLU96"/>
      <c r="SLV96"/>
      <c r="SLW96"/>
      <c r="SLX96"/>
      <c r="SLY96"/>
      <c r="SLZ96"/>
      <c r="SMA96"/>
      <c r="SMB96"/>
      <c r="SMC96"/>
      <c r="SMD96"/>
      <c r="SME96"/>
      <c r="SMF96"/>
      <c r="SMG96"/>
      <c r="SMH96"/>
      <c r="SMI96"/>
      <c r="SMJ96"/>
      <c r="SMK96"/>
      <c r="SML96"/>
      <c r="SMM96"/>
      <c r="SMN96"/>
      <c r="SMO96"/>
      <c r="SMP96"/>
      <c r="SMQ96"/>
      <c r="SMR96"/>
      <c r="SMS96"/>
      <c r="SMT96"/>
      <c r="SMU96"/>
      <c r="SMV96"/>
      <c r="SMW96"/>
      <c r="SMX96"/>
      <c r="SMY96"/>
      <c r="SMZ96"/>
      <c r="SNA96"/>
      <c r="SNB96"/>
      <c r="SNC96"/>
      <c r="SND96"/>
      <c r="SNE96"/>
      <c r="SNF96"/>
      <c r="SNG96"/>
      <c r="SNH96"/>
      <c r="SNI96"/>
      <c r="SNJ96"/>
      <c r="SNK96"/>
      <c r="SNL96"/>
      <c r="SNM96"/>
      <c r="SNN96"/>
      <c r="SNO96"/>
      <c r="SNP96"/>
      <c r="SNQ96"/>
      <c r="SNR96"/>
      <c r="SNS96"/>
      <c r="SNT96"/>
      <c r="SNU96"/>
      <c r="SNV96"/>
      <c r="SNW96"/>
      <c r="SNX96"/>
      <c r="SNY96"/>
      <c r="SNZ96"/>
      <c r="SOA96"/>
      <c r="SOB96"/>
      <c r="SOC96"/>
      <c r="SOD96"/>
      <c r="SOE96"/>
      <c r="SOF96"/>
      <c r="SOG96"/>
      <c r="SOH96"/>
      <c r="SOI96"/>
      <c r="SOJ96"/>
      <c r="SOK96"/>
      <c r="SOL96"/>
      <c r="SOM96"/>
      <c r="SON96"/>
      <c r="SOO96"/>
      <c r="SOP96"/>
      <c r="SOQ96"/>
      <c r="SOR96"/>
      <c r="SOS96"/>
      <c r="SOT96"/>
      <c r="SOU96"/>
      <c r="SOV96"/>
      <c r="SOW96"/>
      <c r="SOX96"/>
      <c r="SOY96"/>
      <c r="SOZ96"/>
      <c r="SPA96"/>
      <c r="SPB96"/>
      <c r="SPC96"/>
      <c r="SPD96"/>
      <c r="SPE96"/>
      <c r="SPF96"/>
      <c r="SPG96"/>
      <c r="SPH96"/>
      <c r="SPI96"/>
      <c r="SPJ96"/>
      <c r="SPK96"/>
      <c r="SPL96"/>
      <c r="SPM96"/>
      <c r="SPN96"/>
      <c r="SPO96"/>
      <c r="SPP96"/>
      <c r="SPQ96"/>
      <c r="SPR96"/>
      <c r="SPS96"/>
      <c r="SPT96"/>
      <c r="SPU96"/>
      <c r="SPV96"/>
      <c r="SPW96"/>
      <c r="SPX96"/>
      <c r="SPY96"/>
      <c r="SPZ96"/>
      <c r="SQA96"/>
      <c r="SQB96"/>
      <c r="SQC96"/>
      <c r="SQD96"/>
      <c r="SQE96"/>
      <c r="SQF96"/>
      <c r="SQG96"/>
      <c r="SQH96"/>
      <c r="SQI96"/>
      <c r="SQJ96"/>
      <c r="SQK96"/>
      <c r="SQL96"/>
      <c r="SQM96"/>
      <c r="SQN96"/>
      <c r="SQO96"/>
      <c r="SQP96"/>
      <c r="SQQ96"/>
      <c r="SQR96"/>
      <c r="SQS96"/>
      <c r="SQT96"/>
      <c r="SQU96"/>
      <c r="SQV96"/>
      <c r="SQW96"/>
      <c r="SQX96"/>
      <c r="SQY96"/>
      <c r="SQZ96"/>
      <c r="SRA96"/>
      <c r="SRB96"/>
      <c r="SRC96"/>
      <c r="SRD96"/>
      <c r="SRE96"/>
      <c r="SRF96"/>
      <c r="SRG96"/>
      <c r="SRH96"/>
      <c r="SRI96"/>
      <c r="SRJ96"/>
      <c r="SRK96"/>
      <c r="SRL96"/>
      <c r="SRM96"/>
      <c r="SRN96"/>
      <c r="SRO96"/>
      <c r="SRP96"/>
      <c r="SRQ96"/>
      <c r="SRR96"/>
      <c r="SRS96"/>
      <c r="SRT96"/>
      <c r="SRU96"/>
      <c r="SRV96"/>
      <c r="SRW96"/>
      <c r="SRX96"/>
      <c r="SRY96"/>
      <c r="SRZ96"/>
      <c r="SSA96"/>
      <c r="SSB96"/>
      <c r="SSC96"/>
      <c r="SSD96"/>
      <c r="SSE96"/>
      <c r="SSF96"/>
      <c r="SSG96"/>
      <c r="SSH96"/>
      <c r="SSI96"/>
      <c r="SSJ96"/>
      <c r="SSK96"/>
      <c r="SSL96"/>
      <c r="SSM96"/>
      <c r="SSN96"/>
      <c r="SSO96"/>
      <c r="SSP96"/>
      <c r="SSQ96"/>
      <c r="SSR96"/>
      <c r="SSS96"/>
      <c r="SST96"/>
      <c r="SSU96"/>
      <c r="SSV96"/>
      <c r="SSW96"/>
      <c r="SSX96"/>
      <c r="SSY96"/>
      <c r="SSZ96"/>
      <c r="STA96"/>
      <c r="STB96"/>
      <c r="STC96"/>
      <c r="STD96"/>
      <c r="STE96"/>
      <c r="STF96"/>
      <c r="STG96"/>
      <c r="STH96"/>
      <c r="STI96"/>
      <c r="STJ96"/>
      <c r="STK96"/>
      <c r="STL96"/>
      <c r="STM96"/>
      <c r="STN96"/>
      <c r="STO96"/>
      <c r="STP96"/>
      <c r="STQ96"/>
      <c r="STR96"/>
      <c r="STS96"/>
      <c r="STT96"/>
      <c r="STU96"/>
      <c r="STV96"/>
      <c r="STW96"/>
      <c r="STX96"/>
      <c r="STY96"/>
      <c r="STZ96"/>
      <c r="SUA96"/>
      <c r="SUB96"/>
      <c r="SUC96"/>
      <c r="SUD96"/>
      <c r="SUE96"/>
      <c r="SUF96"/>
      <c r="SUG96"/>
      <c r="SUH96"/>
      <c r="SUI96"/>
      <c r="SUJ96"/>
      <c r="SUK96"/>
      <c r="SUL96"/>
      <c r="SUM96"/>
      <c r="SUN96"/>
      <c r="SUO96"/>
      <c r="SUP96"/>
      <c r="SUQ96"/>
      <c r="SUR96"/>
      <c r="SUS96"/>
      <c r="SUT96"/>
      <c r="SUU96"/>
      <c r="SUV96"/>
      <c r="SUW96"/>
      <c r="SUX96"/>
      <c r="SUY96"/>
      <c r="SUZ96"/>
      <c r="SVA96"/>
      <c r="SVB96"/>
      <c r="SVC96"/>
      <c r="SVD96"/>
      <c r="SVE96"/>
      <c r="SVF96"/>
      <c r="SVG96"/>
      <c r="SVH96"/>
      <c r="SVI96"/>
      <c r="SVJ96"/>
      <c r="SVK96"/>
      <c r="SVL96"/>
      <c r="SVM96"/>
      <c r="SVN96"/>
      <c r="SVO96"/>
      <c r="SVP96"/>
      <c r="SVQ96"/>
      <c r="SVR96"/>
      <c r="SVS96"/>
      <c r="SVT96"/>
      <c r="SVU96"/>
      <c r="SVV96"/>
      <c r="SVW96"/>
      <c r="SVX96"/>
      <c r="SVY96"/>
      <c r="SVZ96"/>
      <c r="SWA96"/>
      <c r="SWB96"/>
      <c r="SWC96"/>
      <c r="SWD96"/>
      <c r="SWE96"/>
      <c r="SWF96"/>
      <c r="SWG96"/>
      <c r="SWH96"/>
      <c r="SWI96"/>
      <c r="SWJ96"/>
      <c r="SWK96"/>
      <c r="SWL96"/>
      <c r="SWM96"/>
      <c r="SWN96"/>
      <c r="SWO96"/>
      <c r="SWP96"/>
      <c r="SWQ96"/>
      <c r="SWR96"/>
      <c r="SWS96"/>
      <c r="SWT96"/>
      <c r="SWU96"/>
      <c r="SWV96"/>
      <c r="SWW96"/>
      <c r="SWX96"/>
      <c r="SWY96"/>
      <c r="SWZ96"/>
      <c r="SXA96"/>
      <c r="SXB96"/>
      <c r="SXC96"/>
      <c r="SXD96"/>
      <c r="SXE96"/>
      <c r="SXF96"/>
      <c r="SXG96"/>
      <c r="SXH96"/>
      <c r="SXI96"/>
      <c r="SXJ96"/>
      <c r="SXK96"/>
      <c r="SXL96"/>
      <c r="SXM96"/>
      <c r="SXN96"/>
      <c r="SXO96"/>
      <c r="SXP96"/>
      <c r="SXQ96"/>
      <c r="SXR96"/>
      <c r="SXS96"/>
      <c r="SXT96"/>
      <c r="SXU96"/>
      <c r="SXV96"/>
      <c r="SXW96"/>
      <c r="SXX96"/>
      <c r="SXY96"/>
      <c r="SXZ96"/>
      <c r="SYA96"/>
      <c r="SYB96"/>
      <c r="SYC96"/>
      <c r="SYD96"/>
      <c r="SYE96"/>
      <c r="SYF96"/>
      <c r="SYG96"/>
      <c r="SYH96"/>
      <c r="SYI96"/>
      <c r="SYJ96"/>
      <c r="SYK96"/>
      <c r="SYL96"/>
      <c r="SYM96"/>
      <c r="SYN96"/>
      <c r="SYO96"/>
      <c r="SYP96"/>
      <c r="SYQ96"/>
      <c r="SYR96"/>
      <c r="SYS96"/>
      <c r="SYT96"/>
      <c r="SYU96"/>
      <c r="SYV96"/>
      <c r="SYW96"/>
      <c r="SYX96"/>
      <c r="SYY96"/>
      <c r="SYZ96"/>
      <c r="SZA96"/>
      <c r="SZB96"/>
      <c r="SZC96"/>
      <c r="SZD96"/>
      <c r="SZE96"/>
      <c r="SZF96"/>
      <c r="SZG96"/>
      <c r="SZH96"/>
      <c r="SZI96"/>
      <c r="SZJ96"/>
      <c r="SZK96"/>
      <c r="SZL96"/>
      <c r="SZM96"/>
      <c r="SZN96"/>
      <c r="SZO96"/>
      <c r="SZP96"/>
      <c r="SZQ96"/>
      <c r="SZR96"/>
      <c r="SZS96"/>
      <c r="SZT96"/>
      <c r="SZU96"/>
      <c r="SZV96"/>
      <c r="SZW96"/>
      <c r="SZX96"/>
      <c r="SZY96"/>
      <c r="SZZ96"/>
      <c r="TAA96"/>
      <c r="TAB96"/>
      <c r="TAC96"/>
      <c r="TAD96"/>
      <c r="TAE96"/>
      <c r="TAF96"/>
      <c r="TAG96"/>
      <c r="TAH96"/>
      <c r="TAI96"/>
      <c r="TAJ96"/>
      <c r="TAK96"/>
      <c r="TAL96"/>
      <c r="TAM96"/>
      <c r="TAN96"/>
      <c r="TAO96"/>
      <c r="TAP96"/>
      <c r="TAQ96"/>
      <c r="TAR96"/>
      <c r="TAS96"/>
      <c r="TAT96"/>
      <c r="TAU96"/>
      <c r="TAV96"/>
      <c r="TAW96"/>
      <c r="TAX96"/>
      <c r="TAY96"/>
      <c r="TAZ96"/>
      <c r="TBA96"/>
      <c r="TBB96"/>
      <c r="TBC96"/>
      <c r="TBD96"/>
      <c r="TBE96"/>
      <c r="TBF96"/>
      <c r="TBG96"/>
      <c r="TBH96"/>
      <c r="TBI96"/>
      <c r="TBJ96"/>
      <c r="TBK96"/>
      <c r="TBL96"/>
      <c r="TBM96"/>
      <c r="TBN96"/>
      <c r="TBO96"/>
      <c r="TBP96"/>
      <c r="TBQ96"/>
      <c r="TBR96"/>
      <c r="TBS96"/>
      <c r="TBT96"/>
      <c r="TBU96"/>
      <c r="TBV96"/>
      <c r="TBW96"/>
      <c r="TBX96"/>
      <c r="TBY96"/>
      <c r="TBZ96"/>
      <c r="TCA96"/>
      <c r="TCB96"/>
      <c r="TCC96"/>
      <c r="TCD96"/>
      <c r="TCE96"/>
      <c r="TCF96"/>
      <c r="TCG96"/>
      <c r="TCH96"/>
      <c r="TCI96"/>
      <c r="TCJ96"/>
      <c r="TCK96"/>
      <c r="TCL96"/>
      <c r="TCM96"/>
      <c r="TCN96"/>
      <c r="TCO96"/>
      <c r="TCP96"/>
      <c r="TCQ96"/>
      <c r="TCR96"/>
      <c r="TCS96"/>
      <c r="TCT96"/>
      <c r="TCU96"/>
      <c r="TCV96"/>
      <c r="TCW96"/>
      <c r="TCX96"/>
      <c r="TCY96"/>
      <c r="TCZ96"/>
      <c r="TDA96"/>
      <c r="TDB96"/>
      <c r="TDC96"/>
      <c r="TDD96"/>
      <c r="TDE96"/>
      <c r="TDF96"/>
      <c r="TDG96"/>
      <c r="TDH96"/>
      <c r="TDI96"/>
      <c r="TDJ96"/>
      <c r="TDK96"/>
      <c r="TDL96"/>
      <c r="TDM96"/>
      <c r="TDN96"/>
      <c r="TDO96"/>
      <c r="TDP96"/>
      <c r="TDQ96"/>
      <c r="TDR96"/>
      <c r="TDS96"/>
      <c r="TDT96"/>
      <c r="TDU96"/>
      <c r="TDV96"/>
      <c r="TDW96"/>
      <c r="TDX96"/>
      <c r="TDY96"/>
      <c r="TDZ96"/>
      <c r="TEA96"/>
      <c r="TEB96"/>
      <c r="TEC96"/>
      <c r="TED96"/>
      <c r="TEE96"/>
      <c r="TEF96"/>
      <c r="TEG96"/>
      <c r="TEH96"/>
      <c r="TEI96"/>
      <c r="TEJ96"/>
      <c r="TEK96"/>
      <c r="TEL96"/>
      <c r="TEM96"/>
      <c r="TEN96"/>
      <c r="TEO96"/>
      <c r="TEP96"/>
      <c r="TEQ96"/>
      <c r="TER96"/>
      <c r="TES96"/>
      <c r="TET96"/>
      <c r="TEU96"/>
      <c r="TEV96"/>
      <c r="TEW96"/>
      <c r="TEX96"/>
      <c r="TEY96"/>
      <c r="TEZ96"/>
      <c r="TFA96"/>
      <c r="TFB96"/>
      <c r="TFC96"/>
      <c r="TFD96"/>
      <c r="TFE96"/>
      <c r="TFF96"/>
      <c r="TFG96"/>
      <c r="TFH96"/>
      <c r="TFI96"/>
      <c r="TFJ96"/>
      <c r="TFK96"/>
      <c r="TFL96"/>
      <c r="TFM96"/>
      <c r="TFN96"/>
      <c r="TFO96"/>
      <c r="TFP96"/>
      <c r="TFQ96"/>
      <c r="TFR96"/>
      <c r="TFS96"/>
      <c r="TFT96"/>
      <c r="TFU96"/>
      <c r="TFV96"/>
      <c r="TFW96"/>
      <c r="TFX96"/>
      <c r="TFY96"/>
      <c r="TFZ96"/>
      <c r="TGA96"/>
      <c r="TGB96"/>
      <c r="TGC96"/>
      <c r="TGD96"/>
      <c r="TGE96"/>
      <c r="TGF96"/>
      <c r="TGG96"/>
      <c r="TGH96"/>
      <c r="TGI96"/>
      <c r="TGJ96"/>
      <c r="TGK96"/>
      <c r="TGL96"/>
      <c r="TGM96"/>
      <c r="TGN96"/>
      <c r="TGO96"/>
      <c r="TGP96"/>
      <c r="TGQ96"/>
      <c r="TGR96"/>
      <c r="TGS96"/>
      <c r="TGT96"/>
      <c r="TGU96"/>
      <c r="TGV96"/>
      <c r="TGW96"/>
      <c r="TGX96"/>
      <c r="TGY96"/>
      <c r="TGZ96"/>
      <c r="THA96"/>
      <c r="THB96"/>
      <c r="THC96"/>
      <c r="THD96"/>
      <c r="THE96"/>
      <c r="THF96"/>
      <c r="THG96"/>
      <c r="THH96"/>
      <c r="THI96"/>
      <c r="THJ96"/>
      <c r="THK96"/>
      <c r="THL96"/>
      <c r="THM96"/>
      <c r="THN96"/>
      <c r="THO96"/>
      <c r="THP96"/>
      <c r="THQ96"/>
      <c r="THR96"/>
      <c r="THS96"/>
      <c r="THT96"/>
      <c r="THU96"/>
      <c r="THV96"/>
      <c r="THW96"/>
      <c r="THX96"/>
      <c r="THY96"/>
      <c r="THZ96"/>
      <c r="TIA96"/>
      <c r="TIB96"/>
      <c r="TIC96"/>
      <c r="TID96"/>
      <c r="TIE96"/>
      <c r="TIF96"/>
      <c r="TIG96"/>
      <c r="TIH96"/>
      <c r="TII96"/>
      <c r="TIJ96"/>
      <c r="TIK96"/>
      <c r="TIL96"/>
      <c r="TIM96"/>
      <c r="TIN96"/>
      <c r="TIO96"/>
      <c r="TIP96"/>
      <c r="TIQ96"/>
      <c r="TIR96"/>
      <c r="TIS96"/>
      <c r="TIT96"/>
      <c r="TIU96"/>
      <c r="TIV96"/>
      <c r="TIW96"/>
      <c r="TIX96"/>
      <c r="TIY96"/>
      <c r="TIZ96"/>
      <c r="TJA96"/>
      <c r="TJB96"/>
      <c r="TJC96"/>
      <c r="TJD96"/>
      <c r="TJE96"/>
      <c r="TJF96"/>
      <c r="TJG96"/>
      <c r="TJH96"/>
      <c r="TJI96"/>
      <c r="TJJ96"/>
      <c r="TJK96"/>
      <c r="TJL96"/>
      <c r="TJM96"/>
      <c r="TJN96"/>
      <c r="TJO96"/>
      <c r="TJP96"/>
      <c r="TJQ96"/>
      <c r="TJR96"/>
      <c r="TJS96"/>
      <c r="TJT96"/>
      <c r="TJU96"/>
      <c r="TJV96"/>
      <c r="TJW96"/>
      <c r="TJX96"/>
      <c r="TJY96"/>
      <c r="TJZ96"/>
      <c r="TKA96"/>
      <c r="TKB96"/>
      <c r="TKC96"/>
      <c r="TKD96"/>
      <c r="TKE96"/>
      <c r="TKF96"/>
      <c r="TKG96"/>
      <c r="TKH96"/>
      <c r="TKI96"/>
      <c r="TKJ96"/>
      <c r="TKK96"/>
      <c r="TKL96"/>
      <c r="TKM96"/>
      <c r="TKN96"/>
      <c r="TKO96"/>
      <c r="TKP96"/>
      <c r="TKQ96"/>
      <c r="TKR96"/>
      <c r="TKS96"/>
      <c r="TKT96"/>
      <c r="TKU96"/>
      <c r="TKV96"/>
      <c r="TKW96"/>
      <c r="TKX96"/>
      <c r="TKY96"/>
      <c r="TKZ96"/>
      <c r="TLA96"/>
      <c r="TLB96"/>
      <c r="TLC96"/>
      <c r="TLD96"/>
      <c r="TLE96"/>
      <c r="TLF96"/>
      <c r="TLG96"/>
      <c r="TLH96"/>
      <c r="TLI96"/>
      <c r="TLJ96"/>
      <c r="TLK96"/>
      <c r="TLL96"/>
      <c r="TLM96"/>
      <c r="TLN96"/>
      <c r="TLO96"/>
      <c r="TLP96"/>
      <c r="TLQ96"/>
      <c r="TLR96"/>
      <c r="TLS96"/>
      <c r="TLT96"/>
      <c r="TLU96"/>
      <c r="TLV96"/>
      <c r="TLW96"/>
      <c r="TLX96"/>
      <c r="TLY96"/>
      <c r="TLZ96"/>
      <c r="TMA96"/>
      <c r="TMB96"/>
      <c r="TMC96"/>
      <c r="TMD96"/>
      <c r="TME96"/>
      <c r="TMF96"/>
      <c r="TMG96"/>
      <c r="TMH96"/>
      <c r="TMI96"/>
      <c r="TMJ96"/>
      <c r="TMK96"/>
      <c r="TML96"/>
      <c r="TMM96"/>
      <c r="TMN96"/>
      <c r="TMO96"/>
      <c r="TMP96"/>
      <c r="TMQ96"/>
      <c r="TMR96"/>
      <c r="TMS96"/>
      <c r="TMT96"/>
      <c r="TMU96"/>
      <c r="TMV96"/>
      <c r="TMW96"/>
      <c r="TMX96"/>
      <c r="TMY96"/>
      <c r="TMZ96"/>
      <c r="TNA96"/>
      <c r="TNB96"/>
      <c r="TNC96"/>
      <c r="TND96"/>
      <c r="TNE96"/>
      <c r="TNF96"/>
      <c r="TNG96"/>
      <c r="TNH96"/>
      <c r="TNI96"/>
      <c r="TNJ96"/>
      <c r="TNK96"/>
      <c r="TNL96"/>
      <c r="TNM96"/>
      <c r="TNN96"/>
      <c r="TNO96"/>
      <c r="TNP96"/>
      <c r="TNQ96"/>
      <c r="TNR96"/>
      <c r="TNS96"/>
      <c r="TNT96"/>
      <c r="TNU96"/>
      <c r="TNV96"/>
      <c r="TNW96"/>
      <c r="TNX96"/>
      <c r="TNY96"/>
      <c r="TNZ96"/>
      <c r="TOA96"/>
      <c r="TOB96"/>
      <c r="TOC96"/>
      <c r="TOD96"/>
      <c r="TOE96"/>
      <c r="TOF96"/>
      <c r="TOG96"/>
      <c r="TOH96"/>
      <c r="TOI96"/>
      <c r="TOJ96"/>
      <c r="TOK96"/>
      <c r="TOL96"/>
      <c r="TOM96"/>
      <c r="TON96"/>
      <c r="TOO96"/>
      <c r="TOP96"/>
      <c r="TOQ96"/>
      <c r="TOR96"/>
      <c r="TOS96"/>
      <c r="TOT96"/>
      <c r="TOU96"/>
      <c r="TOV96"/>
      <c r="TOW96"/>
      <c r="TOX96"/>
      <c r="TOY96"/>
      <c r="TOZ96"/>
      <c r="TPA96"/>
      <c r="TPB96"/>
      <c r="TPC96"/>
      <c r="TPD96"/>
      <c r="TPE96"/>
      <c r="TPF96"/>
      <c r="TPG96"/>
      <c r="TPH96"/>
      <c r="TPI96"/>
      <c r="TPJ96"/>
      <c r="TPK96"/>
      <c r="TPL96"/>
      <c r="TPM96"/>
      <c r="TPN96"/>
      <c r="TPO96"/>
      <c r="TPP96"/>
      <c r="TPQ96"/>
      <c r="TPR96"/>
      <c r="TPS96"/>
      <c r="TPT96"/>
      <c r="TPU96"/>
      <c r="TPV96"/>
      <c r="TPW96"/>
      <c r="TPX96"/>
      <c r="TPY96"/>
      <c r="TPZ96"/>
      <c r="TQA96"/>
      <c r="TQB96"/>
      <c r="TQC96"/>
      <c r="TQD96"/>
      <c r="TQE96"/>
      <c r="TQF96"/>
      <c r="TQG96"/>
      <c r="TQH96"/>
      <c r="TQI96"/>
      <c r="TQJ96"/>
      <c r="TQK96"/>
      <c r="TQL96"/>
      <c r="TQM96"/>
      <c r="TQN96"/>
      <c r="TQO96"/>
      <c r="TQP96"/>
      <c r="TQQ96"/>
      <c r="TQR96"/>
      <c r="TQS96"/>
      <c r="TQT96"/>
      <c r="TQU96"/>
      <c r="TQV96"/>
      <c r="TQW96"/>
      <c r="TQX96"/>
      <c r="TQY96"/>
      <c r="TQZ96"/>
      <c r="TRA96"/>
      <c r="TRB96"/>
      <c r="TRC96"/>
      <c r="TRD96"/>
      <c r="TRE96"/>
      <c r="TRF96"/>
      <c r="TRG96"/>
      <c r="TRH96"/>
      <c r="TRI96"/>
      <c r="TRJ96"/>
      <c r="TRK96"/>
      <c r="TRL96"/>
      <c r="TRM96"/>
      <c r="TRN96"/>
      <c r="TRO96"/>
      <c r="TRP96"/>
      <c r="TRQ96"/>
      <c r="TRR96"/>
      <c r="TRS96"/>
      <c r="TRT96"/>
      <c r="TRU96"/>
      <c r="TRV96"/>
      <c r="TRW96"/>
      <c r="TRX96"/>
      <c r="TRY96"/>
      <c r="TRZ96"/>
      <c r="TSA96"/>
      <c r="TSB96"/>
      <c r="TSC96"/>
      <c r="TSD96"/>
      <c r="TSE96"/>
      <c r="TSF96"/>
      <c r="TSG96"/>
      <c r="TSH96"/>
      <c r="TSI96"/>
      <c r="TSJ96"/>
      <c r="TSK96"/>
      <c r="TSL96"/>
      <c r="TSM96"/>
      <c r="TSN96"/>
      <c r="TSO96"/>
      <c r="TSP96"/>
      <c r="TSQ96"/>
      <c r="TSR96"/>
      <c r="TSS96"/>
      <c r="TST96"/>
      <c r="TSU96"/>
      <c r="TSV96"/>
      <c r="TSW96"/>
      <c r="TSX96"/>
      <c r="TSY96"/>
      <c r="TSZ96"/>
      <c r="TTA96"/>
      <c r="TTB96"/>
      <c r="TTC96"/>
      <c r="TTD96"/>
      <c r="TTE96"/>
      <c r="TTF96"/>
      <c r="TTG96"/>
      <c r="TTH96"/>
      <c r="TTI96"/>
      <c r="TTJ96"/>
      <c r="TTK96"/>
      <c r="TTL96"/>
      <c r="TTM96"/>
      <c r="TTN96"/>
      <c r="TTO96"/>
      <c r="TTP96"/>
      <c r="TTQ96"/>
      <c r="TTR96"/>
      <c r="TTS96"/>
      <c r="TTT96"/>
      <c r="TTU96"/>
      <c r="TTV96"/>
      <c r="TTW96"/>
      <c r="TTX96"/>
      <c r="TTY96"/>
      <c r="TTZ96"/>
      <c r="TUA96"/>
      <c r="TUB96"/>
      <c r="TUC96"/>
      <c r="TUD96"/>
      <c r="TUE96"/>
      <c r="TUF96"/>
      <c r="TUG96"/>
      <c r="TUH96"/>
      <c r="TUI96"/>
      <c r="TUJ96"/>
      <c r="TUK96"/>
      <c r="TUL96"/>
      <c r="TUM96"/>
      <c r="TUN96"/>
      <c r="TUO96"/>
      <c r="TUP96"/>
      <c r="TUQ96"/>
      <c r="TUR96"/>
      <c r="TUS96"/>
      <c r="TUT96"/>
      <c r="TUU96"/>
      <c r="TUV96"/>
      <c r="TUW96"/>
      <c r="TUX96"/>
      <c r="TUY96"/>
      <c r="TUZ96"/>
      <c r="TVA96"/>
      <c r="TVB96"/>
      <c r="TVC96"/>
      <c r="TVD96"/>
      <c r="TVE96"/>
      <c r="TVF96"/>
      <c r="TVG96"/>
      <c r="TVH96"/>
      <c r="TVI96"/>
      <c r="TVJ96"/>
      <c r="TVK96"/>
      <c r="TVL96"/>
      <c r="TVM96"/>
      <c r="TVN96"/>
      <c r="TVO96"/>
      <c r="TVP96"/>
      <c r="TVQ96"/>
      <c r="TVR96"/>
      <c r="TVS96"/>
      <c r="TVT96"/>
      <c r="TVU96"/>
      <c r="TVV96"/>
      <c r="TVW96"/>
      <c r="TVX96"/>
      <c r="TVY96"/>
      <c r="TVZ96"/>
      <c r="TWA96"/>
      <c r="TWB96"/>
      <c r="TWC96"/>
      <c r="TWD96"/>
      <c r="TWE96"/>
      <c r="TWF96"/>
      <c r="TWG96"/>
      <c r="TWH96"/>
      <c r="TWI96"/>
      <c r="TWJ96"/>
      <c r="TWK96"/>
      <c r="TWL96"/>
      <c r="TWM96"/>
      <c r="TWN96"/>
      <c r="TWO96"/>
      <c r="TWP96"/>
      <c r="TWQ96"/>
      <c r="TWR96"/>
      <c r="TWS96"/>
      <c r="TWT96"/>
      <c r="TWU96"/>
      <c r="TWV96"/>
      <c r="TWW96"/>
      <c r="TWX96"/>
      <c r="TWY96"/>
      <c r="TWZ96"/>
      <c r="TXA96"/>
      <c r="TXB96"/>
      <c r="TXC96"/>
      <c r="TXD96"/>
      <c r="TXE96"/>
      <c r="TXF96"/>
      <c r="TXG96"/>
      <c r="TXH96"/>
      <c r="TXI96"/>
      <c r="TXJ96"/>
      <c r="TXK96"/>
      <c r="TXL96"/>
      <c r="TXM96"/>
      <c r="TXN96"/>
      <c r="TXO96"/>
      <c r="TXP96"/>
      <c r="TXQ96"/>
      <c r="TXR96"/>
      <c r="TXS96"/>
      <c r="TXT96"/>
      <c r="TXU96"/>
      <c r="TXV96"/>
      <c r="TXW96"/>
      <c r="TXX96"/>
      <c r="TXY96"/>
      <c r="TXZ96"/>
      <c r="TYA96"/>
      <c r="TYB96"/>
      <c r="TYC96"/>
      <c r="TYD96"/>
      <c r="TYE96"/>
      <c r="TYF96"/>
      <c r="TYG96"/>
      <c r="TYH96"/>
      <c r="TYI96"/>
      <c r="TYJ96"/>
      <c r="TYK96"/>
      <c r="TYL96"/>
      <c r="TYM96"/>
      <c r="TYN96"/>
      <c r="TYO96"/>
      <c r="TYP96"/>
      <c r="TYQ96"/>
      <c r="TYR96"/>
      <c r="TYS96"/>
      <c r="TYT96"/>
      <c r="TYU96"/>
      <c r="TYV96"/>
      <c r="TYW96"/>
      <c r="TYX96"/>
      <c r="TYY96"/>
      <c r="TYZ96"/>
      <c r="TZA96"/>
      <c r="TZB96"/>
      <c r="TZC96"/>
      <c r="TZD96"/>
      <c r="TZE96"/>
      <c r="TZF96"/>
      <c r="TZG96"/>
      <c r="TZH96"/>
      <c r="TZI96"/>
      <c r="TZJ96"/>
      <c r="TZK96"/>
      <c r="TZL96"/>
      <c r="TZM96"/>
      <c r="TZN96"/>
      <c r="TZO96"/>
      <c r="TZP96"/>
      <c r="TZQ96"/>
      <c r="TZR96"/>
      <c r="TZS96"/>
      <c r="TZT96"/>
      <c r="TZU96"/>
      <c r="TZV96"/>
      <c r="TZW96"/>
      <c r="TZX96"/>
      <c r="TZY96"/>
      <c r="TZZ96"/>
      <c r="UAA96"/>
      <c r="UAB96"/>
      <c r="UAC96"/>
      <c r="UAD96"/>
      <c r="UAE96"/>
      <c r="UAF96"/>
      <c r="UAG96"/>
      <c r="UAH96"/>
      <c r="UAI96"/>
      <c r="UAJ96"/>
      <c r="UAK96"/>
      <c r="UAL96"/>
      <c r="UAM96"/>
      <c r="UAN96"/>
      <c r="UAO96"/>
      <c r="UAP96"/>
      <c r="UAQ96"/>
      <c r="UAR96"/>
      <c r="UAS96"/>
      <c r="UAT96"/>
      <c r="UAU96"/>
      <c r="UAV96"/>
      <c r="UAW96"/>
      <c r="UAX96"/>
      <c r="UAY96"/>
      <c r="UAZ96"/>
      <c r="UBA96"/>
      <c r="UBB96"/>
      <c r="UBC96"/>
      <c r="UBD96"/>
      <c r="UBE96"/>
      <c r="UBF96"/>
      <c r="UBG96"/>
      <c r="UBH96"/>
      <c r="UBI96"/>
      <c r="UBJ96"/>
      <c r="UBK96"/>
      <c r="UBL96"/>
      <c r="UBM96"/>
      <c r="UBN96"/>
      <c r="UBO96"/>
      <c r="UBP96"/>
      <c r="UBQ96"/>
      <c r="UBR96"/>
      <c r="UBS96"/>
      <c r="UBT96"/>
      <c r="UBU96"/>
      <c r="UBV96"/>
      <c r="UBW96"/>
      <c r="UBX96"/>
      <c r="UBY96"/>
      <c r="UBZ96"/>
      <c r="UCA96"/>
      <c r="UCB96"/>
      <c r="UCC96"/>
      <c r="UCD96"/>
      <c r="UCE96"/>
      <c r="UCF96"/>
      <c r="UCG96"/>
      <c r="UCH96"/>
      <c r="UCI96"/>
      <c r="UCJ96"/>
      <c r="UCK96"/>
      <c r="UCL96"/>
      <c r="UCM96"/>
      <c r="UCN96"/>
      <c r="UCO96"/>
      <c r="UCP96"/>
      <c r="UCQ96"/>
      <c r="UCR96"/>
      <c r="UCS96"/>
      <c r="UCT96"/>
      <c r="UCU96"/>
      <c r="UCV96"/>
      <c r="UCW96"/>
      <c r="UCX96"/>
      <c r="UCY96"/>
      <c r="UCZ96"/>
      <c r="UDA96"/>
      <c r="UDB96"/>
      <c r="UDC96"/>
      <c r="UDD96"/>
      <c r="UDE96"/>
      <c r="UDF96"/>
      <c r="UDG96"/>
      <c r="UDH96"/>
      <c r="UDI96"/>
      <c r="UDJ96"/>
      <c r="UDK96"/>
      <c r="UDL96"/>
      <c r="UDM96"/>
      <c r="UDN96"/>
      <c r="UDO96"/>
      <c r="UDP96"/>
      <c r="UDQ96"/>
      <c r="UDR96"/>
      <c r="UDS96"/>
      <c r="UDT96"/>
      <c r="UDU96"/>
      <c r="UDV96"/>
      <c r="UDW96"/>
      <c r="UDX96"/>
      <c r="UDY96"/>
      <c r="UDZ96"/>
      <c r="UEA96"/>
      <c r="UEB96"/>
      <c r="UEC96"/>
      <c r="UED96"/>
      <c r="UEE96"/>
      <c r="UEF96"/>
      <c r="UEG96"/>
      <c r="UEH96"/>
      <c r="UEI96"/>
      <c r="UEJ96"/>
      <c r="UEK96"/>
      <c r="UEL96"/>
      <c r="UEM96"/>
      <c r="UEN96"/>
      <c r="UEO96"/>
      <c r="UEP96"/>
      <c r="UEQ96"/>
      <c r="UER96"/>
      <c r="UES96"/>
      <c r="UET96"/>
      <c r="UEU96"/>
      <c r="UEV96"/>
      <c r="UEW96"/>
      <c r="UEX96"/>
      <c r="UEY96"/>
      <c r="UEZ96"/>
      <c r="UFA96"/>
      <c r="UFB96"/>
      <c r="UFC96"/>
      <c r="UFD96"/>
      <c r="UFE96"/>
      <c r="UFF96"/>
      <c r="UFG96"/>
      <c r="UFH96"/>
      <c r="UFI96"/>
      <c r="UFJ96"/>
      <c r="UFK96"/>
      <c r="UFL96"/>
      <c r="UFM96"/>
      <c r="UFN96"/>
      <c r="UFO96"/>
      <c r="UFP96"/>
      <c r="UFQ96"/>
      <c r="UFR96"/>
      <c r="UFS96"/>
      <c r="UFT96"/>
      <c r="UFU96"/>
      <c r="UFV96"/>
      <c r="UFW96"/>
      <c r="UFX96"/>
      <c r="UFY96"/>
      <c r="UFZ96"/>
      <c r="UGA96"/>
      <c r="UGB96"/>
      <c r="UGC96"/>
      <c r="UGD96"/>
      <c r="UGE96"/>
      <c r="UGF96"/>
      <c r="UGG96"/>
      <c r="UGH96"/>
      <c r="UGI96"/>
      <c r="UGJ96"/>
      <c r="UGK96"/>
      <c r="UGL96"/>
      <c r="UGM96"/>
      <c r="UGN96"/>
      <c r="UGO96"/>
      <c r="UGP96"/>
      <c r="UGQ96"/>
      <c r="UGR96"/>
      <c r="UGS96"/>
      <c r="UGT96"/>
      <c r="UGU96"/>
      <c r="UGV96"/>
      <c r="UGW96"/>
      <c r="UGX96"/>
      <c r="UGY96"/>
      <c r="UGZ96"/>
      <c r="UHA96"/>
      <c r="UHB96"/>
      <c r="UHC96"/>
      <c r="UHD96"/>
      <c r="UHE96"/>
      <c r="UHF96"/>
      <c r="UHG96"/>
      <c r="UHH96"/>
      <c r="UHI96"/>
      <c r="UHJ96"/>
      <c r="UHK96"/>
      <c r="UHL96"/>
      <c r="UHM96"/>
      <c r="UHN96"/>
      <c r="UHO96"/>
      <c r="UHP96"/>
      <c r="UHQ96"/>
      <c r="UHR96"/>
      <c r="UHS96"/>
      <c r="UHT96"/>
      <c r="UHU96"/>
      <c r="UHV96"/>
      <c r="UHW96"/>
      <c r="UHX96"/>
      <c r="UHY96"/>
      <c r="UHZ96"/>
      <c r="UIA96"/>
      <c r="UIB96"/>
      <c r="UIC96"/>
      <c r="UID96"/>
      <c r="UIE96"/>
      <c r="UIF96"/>
      <c r="UIG96"/>
      <c r="UIH96"/>
      <c r="UII96"/>
      <c r="UIJ96"/>
      <c r="UIK96"/>
      <c r="UIL96"/>
      <c r="UIM96"/>
      <c r="UIN96"/>
      <c r="UIO96"/>
      <c r="UIP96"/>
      <c r="UIQ96"/>
      <c r="UIR96"/>
      <c r="UIS96"/>
      <c r="UIT96"/>
      <c r="UIU96"/>
      <c r="UIV96"/>
      <c r="UIW96"/>
      <c r="UIX96"/>
      <c r="UIY96"/>
      <c r="UIZ96"/>
      <c r="UJA96"/>
      <c r="UJB96"/>
      <c r="UJC96"/>
      <c r="UJD96"/>
      <c r="UJE96"/>
      <c r="UJF96"/>
      <c r="UJG96"/>
      <c r="UJH96"/>
      <c r="UJI96"/>
      <c r="UJJ96"/>
      <c r="UJK96"/>
      <c r="UJL96"/>
      <c r="UJM96"/>
      <c r="UJN96"/>
      <c r="UJO96"/>
      <c r="UJP96"/>
      <c r="UJQ96"/>
      <c r="UJR96"/>
      <c r="UJS96"/>
      <c r="UJT96"/>
      <c r="UJU96"/>
      <c r="UJV96"/>
      <c r="UJW96"/>
      <c r="UJX96"/>
      <c r="UJY96"/>
      <c r="UJZ96"/>
      <c r="UKA96"/>
      <c r="UKB96"/>
      <c r="UKC96"/>
      <c r="UKD96"/>
      <c r="UKE96"/>
      <c r="UKF96"/>
      <c r="UKG96"/>
      <c r="UKH96"/>
      <c r="UKI96"/>
      <c r="UKJ96"/>
      <c r="UKK96"/>
      <c r="UKL96"/>
      <c r="UKM96"/>
      <c r="UKN96"/>
      <c r="UKO96"/>
      <c r="UKP96"/>
      <c r="UKQ96"/>
      <c r="UKR96"/>
      <c r="UKS96"/>
      <c r="UKT96"/>
      <c r="UKU96"/>
      <c r="UKV96"/>
      <c r="UKW96"/>
      <c r="UKX96"/>
      <c r="UKY96"/>
      <c r="UKZ96"/>
      <c r="ULA96"/>
      <c r="ULB96"/>
      <c r="ULC96"/>
      <c r="ULD96"/>
      <c r="ULE96"/>
      <c r="ULF96"/>
      <c r="ULG96"/>
      <c r="ULH96"/>
      <c r="ULI96"/>
      <c r="ULJ96"/>
      <c r="ULK96"/>
      <c r="ULL96"/>
      <c r="ULM96"/>
      <c r="ULN96"/>
      <c r="ULO96"/>
      <c r="ULP96"/>
      <c r="ULQ96"/>
      <c r="ULR96"/>
      <c r="ULS96"/>
      <c r="ULT96"/>
      <c r="ULU96"/>
      <c r="ULV96"/>
      <c r="ULW96"/>
      <c r="ULX96"/>
      <c r="ULY96"/>
      <c r="ULZ96"/>
      <c r="UMA96"/>
      <c r="UMB96"/>
      <c r="UMC96"/>
      <c r="UMD96"/>
      <c r="UME96"/>
      <c r="UMF96"/>
      <c r="UMG96"/>
      <c r="UMH96"/>
      <c r="UMI96"/>
      <c r="UMJ96"/>
      <c r="UMK96"/>
      <c r="UML96"/>
      <c r="UMM96"/>
      <c r="UMN96"/>
      <c r="UMO96"/>
      <c r="UMP96"/>
      <c r="UMQ96"/>
      <c r="UMR96"/>
      <c r="UMS96"/>
      <c r="UMT96"/>
      <c r="UMU96"/>
      <c r="UMV96"/>
      <c r="UMW96"/>
      <c r="UMX96"/>
      <c r="UMY96"/>
      <c r="UMZ96"/>
      <c r="UNA96"/>
      <c r="UNB96"/>
      <c r="UNC96"/>
      <c r="UND96"/>
      <c r="UNE96"/>
      <c r="UNF96"/>
      <c r="UNG96"/>
      <c r="UNH96"/>
      <c r="UNI96"/>
      <c r="UNJ96"/>
      <c r="UNK96"/>
      <c r="UNL96"/>
      <c r="UNM96"/>
      <c r="UNN96"/>
      <c r="UNO96"/>
      <c r="UNP96"/>
      <c r="UNQ96"/>
      <c r="UNR96"/>
      <c r="UNS96"/>
      <c r="UNT96"/>
      <c r="UNU96"/>
      <c r="UNV96"/>
      <c r="UNW96"/>
      <c r="UNX96"/>
      <c r="UNY96"/>
      <c r="UNZ96"/>
      <c r="UOA96"/>
      <c r="UOB96"/>
      <c r="UOC96"/>
      <c r="UOD96"/>
      <c r="UOE96"/>
      <c r="UOF96"/>
      <c r="UOG96"/>
      <c r="UOH96"/>
      <c r="UOI96"/>
      <c r="UOJ96"/>
      <c r="UOK96"/>
      <c r="UOL96"/>
      <c r="UOM96"/>
      <c r="UON96"/>
      <c r="UOO96"/>
      <c r="UOP96"/>
      <c r="UOQ96"/>
      <c r="UOR96"/>
      <c r="UOS96"/>
      <c r="UOT96"/>
      <c r="UOU96"/>
      <c r="UOV96"/>
      <c r="UOW96"/>
      <c r="UOX96"/>
      <c r="UOY96"/>
      <c r="UOZ96"/>
      <c r="UPA96"/>
      <c r="UPB96"/>
      <c r="UPC96"/>
      <c r="UPD96"/>
      <c r="UPE96"/>
      <c r="UPF96"/>
      <c r="UPG96"/>
      <c r="UPH96"/>
      <c r="UPI96"/>
      <c r="UPJ96"/>
      <c r="UPK96"/>
      <c r="UPL96"/>
      <c r="UPM96"/>
      <c r="UPN96"/>
      <c r="UPO96"/>
      <c r="UPP96"/>
      <c r="UPQ96"/>
      <c r="UPR96"/>
      <c r="UPS96"/>
      <c r="UPT96"/>
      <c r="UPU96"/>
      <c r="UPV96"/>
      <c r="UPW96"/>
      <c r="UPX96"/>
      <c r="UPY96"/>
      <c r="UPZ96"/>
      <c r="UQA96"/>
      <c r="UQB96"/>
      <c r="UQC96"/>
      <c r="UQD96"/>
      <c r="UQE96"/>
      <c r="UQF96"/>
      <c r="UQG96"/>
      <c r="UQH96"/>
      <c r="UQI96"/>
      <c r="UQJ96"/>
      <c r="UQK96"/>
      <c r="UQL96"/>
      <c r="UQM96"/>
      <c r="UQN96"/>
      <c r="UQO96"/>
      <c r="UQP96"/>
      <c r="UQQ96"/>
      <c r="UQR96"/>
      <c r="UQS96"/>
      <c r="UQT96"/>
      <c r="UQU96"/>
      <c r="UQV96"/>
      <c r="UQW96"/>
      <c r="UQX96"/>
      <c r="UQY96"/>
      <c r="UQZ96"/>
      <c r="URA96"/>
      <c r="URB96"/>
      <c r="URC96"/>
      <c r="URD96"/>
      <c r="URE96"/>
      <c r="URF96"/>
      <c r="URG96"/>
      <c r="URH96"/>
      <c r="URI96"/>
      <c r="URJ96"/>
      <c r="URK96"/>
      <c r="URL96"/>
      <c r="URM96"/>
      <c r="URN96"/>
      <c r="URO96"/>
      <c r="URP96"/>
      <c r="URQ96"/>
      <c r="URR96"/>
      <c r="URS96"/>
      <c r="URT96"/>
      <c r="URU96"/>
      <c r="URV96"/>
      <c r="URW96"/>
      <c r="URX96"/>
      <c r="URY96"/>
      <c r="URZ96"/>
      <c r="USA96"/>
      <c r="USB96"/>
      <c r="USC96"/>
      <c r="USD96"/>
      <c r="USE96"/>
      <c r="USF96"/>
      <c r="USG96"/>
      <c r="USH96"/>
      <c r="USI96"/>
      <c r="USJ96"/>
      <c r="USK96"/>
      <c r="USL96"/>
      <c r="USM96"/>
      <c r="USN96"/>
      <c r="USO96"/>
      <c r="USP96"/>
      <c r="USQ96"/>
      <c r="USR96"/>
      <c r="USS96"/>
      <c r="UST96"/>
      <c r="USU96"/>
      <c r="USV96"/>
      <c r="USW96"/>
      <c r="USX96"/>
      <c r="USY96"/>
      <c r="USZ96"/>
      <c r="UTA96"/>
      <c r="UTB96"/>
      <c r="UTC96"/>
      <c r="UTD96"/>
      <c r="UTE96"/>
      <c r="UTF96"/>
      <c r="UTG96"/>
      <c r="UTH96"/>
      <c r="UTI96"/>
      <c r="UTJ96"/>
      <c r="UTK96"/>
      <c r="UTL96"/>
      <c r="UTM96"/>
      <c r="UTN96"/>
      <c r="UTO96"/>
      <c r="UTP96"/>
      <c r="UTQ96"/>
      <c r="UTR96"/>
      <c r="UTS96"/>
      <c r="UTT96"/>
      <c r="UTU96"/>
      <c r="UTV96"/>
      <c r="UTW96"/>
      <c r="UTX96"/>
      <c r="UTY96"/>
      <c r="UTZ96"/>
      <c r="UUA96"/>
      <c r="UUB96"/>
      <c r="UUC96"/>
      <c r="UUD96"/>
      <c r="UUE96"/>
      <c r="UUF96"/>
      <c r="UUG96"/>
      <c r="UUH96"/>
      <c r="UUI96"/>
      <c r="UUJ96"/>
      <c r="UUK96"/>
      <c r="UUL96"/>
      <c r="UUM96"/>
      <c r="UUN96"/>
      <c r="UUO96"/>
      <c r="UUP96"/>
      <c r="UUQ96"/>
      <c r="UUR96"/>
      <c r="UUS96"/>
      <c r="UUT96"/>
      <c r="UUU96"/>
      <c r="UUV96"/>
      <c r="UUW96"/>
      <c r="UUX96"/>
      <c r="UUY96"/>
      <c r="UUZ96"/>
      <c r="UVA96"/>
      <c r="UVB96"/>
      <c r="UVC96"/>
      <c r="UVD96"/>
      <c r="UVE96"/>
      <c r="UVF96"/>
      <c r="UVG96"/>
      <c r="UVH96"/>
      <c r="UVI96"/>
      <c r="UVJ96"/>
      <c r="UVK96"/>
      <c r="UVL96"/>
      <c r="UVM96"/>
      <c r="UVN96"/>
      <c r="UVO96"/>
      <c r="UVP96"/>
      <c r="UVQ96"/>
      <c r="UVR96"/>
      <c r="UVS96"/>
      <c r="UVT96"/>
      <c r="UVU96"/>
      <c r="UVV96"/>
      <c r="UVW96"/>
      <c r="UVX96"/>
      <c r="UVY96"/>
      <c r="UVZ96"/>
      <c r="UWA96"/>
      <c r="UWB96"/>
      <c r="UWC96"/>
      <c r="UWD96"/>
      <c r="UWE96"/>
      <c r="UWF96"/>
      <c r="UWG96"/>
      <c r="UWH96"/>
      <c r="UWI96"/>
      <c r="UWJ96"/>
      <c r="UWK96"/>
      <c r="UWL96"/>
      <c r="UWM96"/>
      <c r="UWN96"/>
      <c r="UWO96"/>
      <c r="UWP96"/>
      <c r="UWQ96"/>
      <c r="UWR96"/>
      <c r="UWS96"/>
      <c r="UWT96"/>
      <c r="UWU96"/>
      <c r="UWV96"/>
      <c r="UWW96"/>
      <c r="UWX96"/>
      <c r="UWY96"/>
      <c r="UWZ96"/>
      <c r="UXA96"/>
      <c r="UXB96"/>
      <c r="UXC96"/>
      <c r="UXD96"/>
      <c r="UXE96"/>
      <c r="UXF96"/>
      <c r="UXG96"/>
      <c r="UXH96"/>
      <c r="UXI96"/>
      <c r="UXJ96"/>
      <c r="UXK96"/>
      <c r="UXL96"/>
      <c r="UXM96"/>
      <c r="UXN96"/>
      <c r="UXO96"/>
      <c r="UXP96"/>
      <c r="UXQ96"/>
      <c r="UXR96"/>
      <c r="UXS96"/>
      <c r="UXT96"/>
      <c r="UXU96"/>
      <c r="UXV96"/>
      <c r="UXW96"/>
      <c r="UXX96"/>
      <c r="UXY96"/>
      <c r="UXZ96"/>
      <c r="UYA96"/>
      <c r="UYB96"/>
      <c r="UYC96"/>
      <c r="UYD96"/>
      <c r="UYE96"/>
      <c r="UYF96"/>
      <c r="UYG96"/>
      <c r="UYH96"/>
      <c r="UYI96"/>
      <c r="UYJ96"/>
      <c r="UYK96"/>
      <c r="UYL96"/>
      <c r="UYM96"/>
      <c r="UYN96"/>
      <c r="UYO96"/>
      <c r="UYP96"/>
      <c r="UYQ96"/>
      <c r="UYR96"/>
      <c r="UYS96"/>
      <c r="UYT96"/>
      <c r="UYU96"/>
      <c r="UYV96"/>
      <c r="UYW96"/>
      <c r="UYX96"/>
      <c r="UYY96"/>
      <c r="UYZ96"/>
      <c r="UZA96"/>
      <c r="UZB96"/>
      <c r="UZC96"/>
      <c r="UZD96"/>
      <c r="UZE96"/>
      <c r="UZF96"/>
      <c r="UZG96"/>
      <c r="UZH96"/>
      <c r="UZI96"/>
      <c r="UZJ96"/>
      <c r="UZK96"/>
      <c r="UZL96"/>
      <c r="UZM96"/>
      <c r="UZN96"/>
      <c r="UZO96"/>
      <c r="UZP96"/>
      <c r="UZQ96"/>
      <c r="UZR96"/>
      <c r="UZS96"/>
      <c r="UZT96"/>
      <c r="UZU96"/>
      <c r="UZV96"/>
      <c r="UZW96"/>
      <c r="UZX96"/>
      <c r="UZY96"/>
      <c r="UZZ96"/>
      <c r="VAA96"/>
      <c r="VAB96"/>
      <c r="VAC96"/>
      <c r="VAD96"/>
      <c r="VAE96"/>
      <c r="VAF96"/>
      <c r="VAG96"/>
      <c r="VAH96"/>
      <c r="VAI96"/>
      <c r="VAJ96"/>
      <c r="VAK96"/>
      <c r="VAL96"/>
      <c r="VAM96"/>
      <c r="VAN96"/>
      <c r="VAO96"/>
      <c r="VAP96"/>
      <c r="VAQ96"/>
      <c r="VAR96"/>
      <c r="VAS96"/>
      <c r="VAT96"/>
      <c r="VAU96"/>
      <c r="VAV96"/>
      <c r="VAW96"/>
      <c r="VAX96"/>
      <c r="VAY96"/>
      <c r="VAZ96"/>
      <c r="VBA96"/>
      <c r="VBB96"/>
      <c r="VBC96"/>
      <c r="VBD96"/>
      <c r="VBE96"/>
      <c r="VBF96"/>
      <c r="VBG96"/>
      <c r="VBH96"/>
      <c r="VBI96"/>
      <c r="VBJ96"/>
      <c r="VBK96"/>
      <c r="VBL96"/>
      <c r="VBM96"/>
      <c r="VBN96"/>
      <c r="VBO96"/>
      <c r="VBP96"/>
      <c r="VBQ96"/>
      <c r="VBR96"/>
      <c r="VBS96"/>
      <c r="VBT96"/>
      <c r="VBU96"/>
      <c r="VBV96"/>
      <c r="VBW96"/>
      <c r="VBX96"/>
      <c r="VBY96"/>
      <c r="VBZ96"/>
      <c r="VCA96"/>
      <c r="VCB96"/>
      <c r="VCC96"/>
      <c r="VCD96"/>
      <c r="VCE96"/>
      <c r="VCF96"/>
      <c r="VCG96"/>
      <c r="VCH96"/>
      <c r="VCI96"/>
      <c r="VCJ96"/>
      <c r="VCK96"/>
      <c r="VCL96"/>
      <c r="VCM96"/>
      <c r="VCN96"/>
      <c r="VCO96"/>
      <c r="VCP96"/>
      <c r="VCQ96"/>
      <c r="VCR96"/>
      <c r="VCS96"/>
      <c r="VCT96"/>
      <c r="VCU96"/>
      <c r="VCV96"/>
      <c r="VCW96"/>
      <c r="VCX96"/>
      <c r="VCY96"/>
      <c r="VCZ96"/>
      <c r="VDA96"/>
      <c r="VDB96"/>
      <c r="VDC96"/>
      <c r="VDD96"/>
      <c r="VDE96"/>
      <c r="VDF96"/>
      <c r="VDG96"/>
      <c r="VDH96"/>
      <c r="VDI96"/>
      <c r="VDJ96"/>
      <c r="VDK96"/>
      <c r="VDL96"/>
      <c r="VDM96"/>
      <c r="VDN96"/>
      <c r="VDO96"/>
      <c r="VDP96"/>
      <c r="VDQ96"/>
      <c r="VDR96"/>
      <c r="VDS96"/>
      <c r="VDT96"/>
      <c r="VDU96"/>
      <c r="VDV96"/>
      <c r="VDW96"/>
      <c r="VDX96"/>
      <c r="VDY96"/>
      <c r="VDZ96"/>
      <c r="VEA96"/>
      <c r="VEB96"/>
      <c r="VEC96"/>
      <c r="VED96"/>
      <c r="VEE96"/>
      <c r="VEF96"/>
      <c r="VEG96"/>
      <c r="VEH96"/>
      <c r="VEI96"/>
      <c r="VEJ96"/>
      <c r="VEK96"/>
      <c r="VEL96"/>
      <c r="VEM96"/>
      <c r="VEN96"/>
      <c r="VEO96"/>
      <c r="VEP96"/>
      <c r="VEQ96"/>
      <c r="VER96"/>
      <c r="VES96"/>
      <c r="VET96"/>
      <c r="VEU96"/>
      <c r="VEV96"/>
      <c r="VEW96"/>
      <c r="VEX96"/>
      <c r="VEY96"/>
      <c r="VEZ96"/>
      <c r="VFA96"/>
      <c r="VFB96"/>
      <c r="VFC96"/>
      <c r="VFD96"/>
      <c r="VFE96"/>
      <c r="VFF96"/>
      <c r="VFG96"/>
      <c r="VFH96"/>
      <c r="VFI96"/>
      <c r="VFJ96"/>
      <c r="VFK96"/>
      <c r="VFL96"/>
      <c r="VFM96"/>
      <c r="VFN96"/>
      <c r="VFO96"/>
      <c r="VFP96"/>
      <c r="VFQ96"/>
      <c r="VFR96"/>
      <c r="VFS96"/>
      <c r="VFT96"/>
      <c r="VFU96"/>
      <c r="VFV96"/>
      <c r="VFW96"/>
      <c r="VFX96"/>
      <c r="VFY96"/>
      <c r="VFZ96"/>
      <c r="VGA96"/>
      <c r="VGB96"/>
      <c r="VGC96"/>
      <c r="VGD96"/>
      <c r="VGE96"/>
      <c r="VGF96"/>
      <c r="VGG96"/>
      <c r="VGH96"/>
      <c r="VGI96"/>
      <c r="VGJ96"/>
      <c r="VGK96"/>
      <c r="VGL96"/>
      <c r="VGM96"/>
      <c r="VGN96"/>
      <c r="VGO96"/>
      <c r="VGP96"/>
      <c r="VGQ96"/>
      <c r="VGR96"/>
      <c r="VGS96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  <c r="VWC96"/>
      <c r="VWD96"/>
      <c r="VWE96"/>
      <c r="VWF96"/>
      <c r="VWG96"/>
      <c r="VWH96"/>
      <c r="VWI96"/>
      <c r="VWJ96"/>
      <c r="VWK96"/>
      <c r="VWL96"/>
      <c r="VWM96"/>
      <c r="VWN96"/>
      <c r="VWO96"/>
      <c r="VWP96"/>
      <c r="VWQ96"/>
      <c r="VWR96"/>
      <c r="VWS96"/>
      <c r="VWT96"/>
      <c r="VWU96"/>
      <c r="VWV96"/>
      <c r="VWW96"/>
      <c r="VWX96"/>
      <c r="VWY96"/>
      <c r="VWZ96"/>
      <c r="VXA96"/>
      <c r="VXB96"/>
      <c r="VXC96"/>
      <c r="VXD96"/>
      <c r="VXE96"/>
      <c r="VXF96"/>
      <c r="VXG96"/>
      <c r="VXH96"/>
      <c r="VXI96"/>
      <c r="VXJ96"/>
      <c r="VXK96"/>
      <c r="VXL96"/>
      <c r="VXM96"/>
      <c r="VXN96"/>
      <c r="VXO96"/>
      <c r="VXP96"/>
      <c r="VXQ96"/>
      <c r="VXR96"/>
      <c r="VXS96"/>
      <c r="VXT96"/>
      <c r="VXU96"/>
      <c r="VXV96"/>
      <c r="VXW96"/>
      <c r="VXX96"/>
      <c r="VXY96"/>
      <c r="VXZ96"/>
      <c r="VYA96"/>
      <c r="VYB96"/>
      <c r="VYC96"/>
      <c r="VYD96"/>
      <c r="VYE96"/>
      <c r="VYF96"/>
      <c r="VYG96"/>
      <c r="VYH96"/>
      <c r="VYI96"/>
      <c r="VYJ96"/>
      <c r="VYK96"/>
      <c r="VYL96"/>
      <c r="VYM96"/>
      <c r="VYN96"/>
      <c r="VYO96"/>
      <c r="VYP96"/>
      <c r="VYQ96"/>
      <c r="VYR96"/>
      <c r="VYS96"/>
      <c r="VYT96"/>
      <c r="VYU96"/>
      <c r="VYV96"/>
      <c r="VYW96"/>
      <c r="VYX96"/>
      <c r="VYY96"/>
      <c r="VYZ96"/>
      <c r="VZA96"/>
      <c r="VZB96"/>
      <c r="VZC96"/>
      <c r="VZD96"/>
      <c r="VZE96"/>
      <c r="VZF96"/>
      <c r="VZG96"/>
      <c r="VZH96"/>
      <c r="VZI96"/>
      <c r="VZJ96"/>
      <c r="VZK96"/>
      <c r="VZL96"/>
      <c r="VZM96"/>
      <c r="VZN96"/>
      <c r="VZO96"/>
      <c r="VZP96"/>
      <c r="VZQ96"/>
      <c r="VZR96"/>
      <c r="VZS96"/>
      <c r="VZT96"/>
      <c r="VZU96"/>
      <c r="VZV96"/>
      <c r="VZW96"/>
      <c r="VZX96"/>
      <c r="VZY96"/>
      <c r="VZZ96"/>
      <c r="WAA96"/>
      <c r="WAB96"/>
      <c r="WAC96"/>
      <c r="WAD96"/>
      <c r="WAE96"/>
      <c r="WAF96"/>
      <c r="WAG96"/>
      <c r="WAH96"/>
      <c r="WAI96"/>
      <c r="WAJ96"/>
      <c r="WAK96"/>
      <c r="WAL96"/>
      <c r="WAM96"/>
      <c r="WAN96"/>
      <c r="WAO96"/>
      <c r="WAP96"/>
      <c r="WAQ96"/>
      <c r="WAR96"/>
      <c r="WAS96"/>
      <c r="WAT96"/>
      <c r="WAU96"/>
      <c r="WAV96"/>
      <c r="WAW96"/>
      <c r="WAX96"/>
      <c r="WAY96"/>
      <c r="WAZ96"/>
      <c r="WBA96"/>
      <c r="WBB96"/>
      <c r="WBC96"/>
      <c r="WBD96"/>
      <c r="WBE96"/>
      <c r="WBF96"/>
      <c r="WBG96"/>
      <c r="WBH96"/>
      <c r="WBI96"/>
      <c r="WBJ96"/>
      <c r="WBK96"/>
      <c r="WBL96"/>
      <c r="WBM96"/>
      <c r="WBN96"/>
      <c r="WBO96"/>
      <c r="WBP96"/>
      <c r="WBQ96"/>
      <c r="WBR96"/>
      <c r="WBS96"/>
      <c r="WBT96"/>
      <c r="WBU96"/>
      <c r="WBV96"/>
      <c r="WBW96"/>
      <c r="WBX96"/>
      <c r="WBY96"/>
      <c r="WBZ96"/>
      <c r="WCA96"/>
      <c r="WCB96"/>
      <c r="WCC96"/>
      <c r="WCD96"/>
      <c r="WCE96"/>
      <c r="WCF96"/>
      <c r="WCG96"/>
      <c r="WCH96"/>
      <c r="WCI96"/>
      <c r="WCJ96"/>
      <c r="WCK96"/>
      <c r="WCL96"/>
      <c r="WCM96"/>
      <c r="WCN96"/>
      <c r="WCO96"/>
      <c r="WCP96"/>
      <c r="WCQ96"/>
      <c r="WCR96"/>
      <c r="WCS96"/>
      <c r="WCT96"/>
      <c r="WCU96"/>
      <c r="WCV96"/>
      <c r="WCW96"/>
      <c r="WCX96"/>
      <c r="WCY96"/>
      <c r="WCZ96"/>
      <c r="WDA96"/>
      <c r="WDB96"/>
      <c r="WDC96"/>
      <c r="WDD96"/>
      <c r="WDE96"/>
      <c r="WDF96"/>
      <c r="WDG96"/>
      <c r="WDH96"/>
      <c r="WDI96"/>
      <c r="WDJ96"/>
      <c r="WDK96"/>
      <c r="WDL96"/>
      <c r="WDM96"/>
      <c r="WDN96"/>
      <c r="WDO96"/>
      <c r="WDP96"/>
      <c r="WDQ96"/>
      <c r="WDR96"/>
      <c r="WDS96"/>
      <c r="WDT96"/>
      <c r="WDU96"/>
      <c r="WDV96"/>
      <c r="WDW96"/>
      <c r="WDX96"/>
      <c r="WDY96"/>
      <c r="WDZ96"/>
      <c r="WEA96"/>
      <c r="WEB96"/>
      <c r="WEC96"/>
      <c r="WED96"/>
      <c r="WEE96"/>
      <c r="WEF96"/>
      <c r="WEG96"/>
      <c r="WEH96"/>
      <c r="WEI96"/>
      <c r="WEJ96"/>
      <c r="WEK96"/>
      <c r="WEL96"/>
      <c r="WEM96"/>
      <c r="WEN96"/>
      <c r="WEO96"/>
      <c r="WEP96"/>
      <c r="WEQ96"/>
      <c r="WER96"/>
      <c r="WES96"/>
      <c r="WET96"/>
      <c r="WEU96"/>
      <c r="WEV96"/>
      <c r="WEW96"/>
      <c r="WEX96"/>
      <c r="WEY96"/>
      <c r="WEZ96"/>
      <c r="WFA96"/>
      <c r="WFB96"/>
      <c r="WFC96"/>
      <c r="WFD96"/>
      <c r="WFE96"/>
      <c r="WFF96"/>
      <c r="WFG96"/>
      <c r="WFH96"/>
      <c r="WFI96"/>
      <c r="WFJ96"/>
      <c r="WFK96"/>
      <c r="WFL96"/>
      <c r="WFM96"/>
      <c r="WFN96"/>
      <c r="WFO96"/>
      <c r="WFP96"/>
      <c r="WFQ96"/>
      <c r="WFR96"/>
      <c r="WFS96"/>
      <c r="WFT96"/>
      <c r="WFU96"/>
      <c r="WFV96"/>
      <c r="WFW96"/>
      <c r="WFX96"/>
      <c r="WFY96"/>
      <c r="WFZ96"/>
      <c r="WGA96"/>
      <c r="WGB96"/>
      <c r="WGC96"/>
      <c r="WGD96"/>
      <c r="WGE96"/>
      <c r="WGF96"/>
      <c r="WGG96"/>
      <c r="WGH96"/>
      <c r="WGI96"/>
      <c r="WGJ96"/>
      <c r="WGK96"/>
      <c r="WGL96"/>
      <c r="WGM96"/>
      <c r="WGN96"/>
      <c r="WGO96"/>
      <c r="WGP96"/>
      <c r="WGQ96"/>
      <c r="WGR96"/>
      <c r="WGS96"/>
      <c r="WGT96"/>
      <c r="WGU96"/>
      <c r="WGV96"/>
      <c r="WGW96"/>
      <c r="WGX96"/>
      <c r="WGY96"/>
      <c r="WGZ96"/>
      <c r="WHA96"/>
      <c r="WHB96"/>
      <c r="WHC96"/>
      <c r="WHD96"/>
      <c r="WHE96"/>
      <c r="WHF96"/>
      <c r="WHG96"/>
      <c r="WHH96"/>
      <c r="WHI96"/>
      <c r="WHJ96"/>
      <c r="WHK96"/>
      <c r="WHL96"/>
      <c r="WHM96"/>
      <c r="WHN96"/>
      <c r="WHO96"/>
      <c r="WHP96"/>
      <c r="WHQ96"/>
      <c r="WHR96"/>
      <c r="WHS96"/>
      <c r="WHT96"/>
      <c r="WHU96"/>
      <c r="WHV96"/>
      <c r="WHW96"/>
      <c r="WHX96"/>
      <c r="WHY96"/>
      <c r="WHZ96"/>
      <c r="WIA96"/>
      <c r="WIB96"/>
      <c r="WIC96"/>
      <c r="WID96"/>
      <c r="WIE96"/>
      <c r="WIF96"/>
      <c r="WIG96"/>
      <c r="WIH96"/>
      <c r="WII96"/>
      <c r="WIJ96"/>
      <c r="WIK96"/>
      <c r="WIL96"/>
      <c r="WIM96"/>
      <c r="WIN96"/>
      <c r="WIO96"/>
      <c r="WIP96"/>
      <c r="WIQ96"/>
      <c r="WIR96"/>
      <c r="WIS96"/>
      <c r="WIT96"/>
      <c r="WIU96"/>
      <c r="WIV96"/>
      <c r="WIW96"/>
      <c r="WIX96"/>
      <c r="WIY96"/>
      <c r="WIZ96"/>
      <c r="WJA96"/>
      <c r="WJB96"/>
      <c r="WJC96"/>
      <c r="WJD96"/>
      <c r="WJE96"/>
      <c r="WJF96"/>
      <c r="WJG96"/>
      <c r="WJH96"/>
      <c r="WJI96"/>
      <c r="WJJ96"/>
      <c r="WJK96"/>
      <c r="WJL96"/>
      <c r="WJM96"/>
      <c r="WJN96"/>
      <c r="WJO96"/>
      <c r="WJP96"/>
      <c r="WJQ96"/>
      <c r="WJR96"/>
      <c r="WJS96"/>
      <c r="WJT96"/>
      <c r="WJU96"/>
      <c r="WJV96"/>
      <c r="WJW96"/>
      <c r="WJX96"/>
      <c r="WJY96"/>
      <c r="WJZ96"/>
      <c r="WKA96"/>
      <c r="WKB96"/>
      <c r="WKC96"/>
      <c r="WKD96"/>
      <c r="WKE96"/>
      <c r="WKF96"/>
      <c r="WKG96"/>
      <c r="WKH96"/>
      <c r="WKI96"/>
      <c r="WKJ96"/>
      <c r="WKK96"/>
      <c r="WKL96"/>
      <c r="WKM96"/>
      <c r="WKN96"/>
      <c r="WKO96"/>
      <c r="WKP96"/>
      <c r="WKQ96"/>
      <c r="WKR96"/>
      <c r="WKS96"/>
      <c r="WKT96"/>
      <c r="WKU96"/>
      <c r="WKV96"/>
      <c r="WKW96"/>
      <c r="WKX96"/>
      <c r="WKY96"/>
      <c r="WKZ96"/>
      <c r="WLA96"/>
      <c r="WLB96"/>
      <c r="WLC96"/>
      <c r="WLD96"/>
      <c r="WLE96"/>
      <c r="WLF96"/>
      <c r="WLG96"/>
      <c r="WLH96"/>
      <c r="WLI96"/>
      <c r="WLJ96"/>
      <c r="WLK96"/>
      <c r="WLL96"/>
      <c r="WLM96"/>
      <c r="WLN96"/>
      <c r="WLO96"/>
      <c r="WLP96"/>
      <c r="WLQ96"/>
      <c r="WLR96"/>
      <c r="WLS96"/>
      <c r="WLT96"/>
      <c r="WLU96"/>
      <c r="WLV96"/>
      <c r="WLW96"/>
      <c r="WLX96"/>
      <c r="WLY96"/>
      <c r="WLZ96"/>
      <c r="WMA96"/>
      <c r="WMB96"/>
      <c r="WMC96"/>
      <c r="WMD96"/>
      <c r="WME96"/>
      <c r="WMF96"/>
      <c r="WMG96"/>
      <c r="WMH96"/>
      <c r="WMI96"/>
      <c r="WMJ96"/>
      <c r="WMK96"/>
      <c r="WML96"/>
      <c r="WMM96"/>
      <c r="WMN96"/>
      <c r="WMO96"/>
      <c r="WMP96"/>
      <c r="WMQ96"/>
      <c r="WMR96"/>
      <c r="WMS96"/>
      <c r="WMT96"/>
      <c r="WMU96"/>
      <c r="WMV96"/>
      <c r="WMW96"/>
      <c r="WMX96"/>
      <c r="WMY96"/>
      <c r="WMZ96"/>
      <c r="WNA96"/>
      <c r="WNB96"/>
      <c r="WNC96"/>
      <c r="WND96"/>
      <c r="WNE96"/>
      <c r="WNF96"/>
      <c r="WNG96"/>
      <c r="WNH96"/>
      <c r="WNI96"/>
      <c r="WNJ96"/>
      <c r="WNK96"/>
      <c r="WNL96"/>
      <c r="WNM96"/>
      <c r="WNN96"/>
      <c r="WNO96"/>
      <c r="WNP96"/>
      <c r="WNQ96"/>
      <c r="WNR96"/>
      <c r="WNS96"/>
      <c r="WNT96"/>
      <c r="WNU96"/>
      <c r="WNV96"/>
      <c r="WNW96"/>
      <c r="WNX96"/>
      <c r="WNY96"/>
      <c r="WNZ96"/>
      <c r="WOA96"/>
      <c r="WOB96"/>
      <c r="WOC96"/>
      <c r="WOD96"/>
      <c r="WOE96"/>
      <c r="WOF96"/>
      <c r="WOG96"/>
      <c r="WOH96"/>
      <c r="WOI96"/>
      <c r="WOJ96"/>
      <c r="WOK96"/>
      <c r="WOL96"/>
      <c r="WOM96"/>
      <c r="WON96"/>
      <c r="WOO96"/>
      <c r="WOP96"/>
      <c r="WOQ96"/>
      <c r="WOR96"/>
      <c r="WOS96"/>
      <c r="WOT96"/>
      <c r="WOU96"/>
      <c r="WOV96"/>
      <c r="WOW96"/>
      <c r="WOX96"/>
      <c r="WOY96"/>
      <c r="WOZ96"/>
      <c r="WPA96"/>
      <c r="WPB96"/>
      <c r="WPC96"/>
      <c r="WPD96"/>
      <c r="WPE96"/>
      <c r="WPF96"/>
      <c r="WPG96"/>
      <c r="WPH96"/>
      <c r="WPI96"/>
      <c r="WPJ96"/>
      <c r="WPK96"/>
      <c r="WPL96"/>
      <c r="WPM96"/>
      <c r="WPN96"/>
      <c r="WPO96"/>
      <c r="WPP96"/>
      <c r="WPQ96"/>
      <c r="WPR96"/>
      <c r="WPS96"/>
      <c r="WPT96"/>
      <c r="WPU96"/>
      <c r="WPV96"/>
      <c r="WPW96"/>
      <c r="WPX96"/>
      <c r="WPY96"/>
      <c r="WPZ96"/>
      <c r="WQA96"/>
      <c r="WQB96"/>
      <c r="WQC96"/>
      <c r="WQD96"/>
      <c r="WQE96"/>
      <c r="WQF96"/>
      <c r="WQG96"/>
      <c r="WQH96"/>
      <c r="WQI96"/>
      <c r="WQJ96"/>
      <c r="WQK96"/>
      <c r="WQL96"/>
      <c r="WQM96"/>
      <c r="WQN96"/>
      <c r="WQO96"/>
      <c r="WQP96"/>
      <c r="WQQ96"/>
      <c r="WQR96"/>
      <c r="WQS96"/>
      <c r="WQT96"/>
      <c r="WQU96"/>
      <c r="WQV96"/>
      <c r="WQW96"/>
      <c r="WQX96"/>
      <c r="WQY96"/>
      <c r="WQZ96"/>
      <c r="WRA96"/>
      <c r="WRB96"/>
      <c r="WRC96"/>
      <c r="WRD96"/>
      <c r="WRE96"/>
      <c r="WRF96"/>
      <c r="WRG96"/>
      <c r="WRH96"/>
      <c r="WRI96"/>
      <c r="WRJ96"/>
      <c r="WRK96"/>
      <c r="WRL96"/>
      <c r="WRM96"/>
      <c r="WRN96"/>
      <c r="WRO96"/>
      <c r="WRP96"/>
      <c r="WRQ96"/>
      <c r="WRR96"/>
      <c r="WRS96"/>
      <c r="WRT96"/>
      <c r="WRU96"/>
      <c r="WRV96"/>
      <c r="WRW96"/>
      <c r="WRX96"/>
      <c r="WRY96"/>
      <c r="WRZ96"/>
      <c r="WSA96"/>
      <c r="WSB96"/>
      <c r="WSC96"/>
      <c r="WSD96"/>
      <c r="WSE96"/>
      <c r="WSF96"/>
      <c r="WSG96"/>
      <c r="WSH96"/>
      <c r="WSI96"/>
      <c r="WSJ96"/>
      <c r="WSK96"/>
      <c r="WSL96"/>
      <c r="WSM96"/>
      <c r="WSN96"/>
      <c r="WSO96"/>
      <c r="WSP96"/>
      <c r="WSQ96"/>
      <c r="WSR96"/>
      <c r="WSS96"/>
      <c r="WST96"/>
      <c r="WSU96"/>
      <c r="WSV96"/>
      <c r="WSW96"/>
      <c r="WSX96"/>
      <c r="WSY96"/>
      <c r="WSZ96"/>
      <c r="WTA96"/>
      <c r="WTB96"/>
      <c r="WTC96"/>
      <c r="WTD96"/>
      <c r="WTE96"/>
      <c r="WTF96"/>
      <c r="WTG96"/>
      <c r="WTH96"/>
      <c r="WTI96"/>
      <c r="WTJ96"/>
      <c r="WTK96"/>
      <c r="WTL96"/>
      <c r="WTM96"/>
      <c r="WTN96"/>
      <c r="WTO96"/>
      <c r="WTP96"/>
      <c r="WTQ96"/>
      <c r="WTR96"/>
      <c r="WTS96"/>
      <c r="WTT96"/>
      <c r="WTU96"/>
      <c r="WTV96"/>
      <c r="WTW96"/>
      <c r="WTX96"/>
      <c r="WTY96"/>
      <c r="WTZ96"/>
      <c r="WUA96"/>
      <c r="WUB96"/>
      <c r="WUC96"/>
      <c r="WUD96"/>
      <c r="WUE96"/>
      <c r="WUF96"/>
      <c r="WUG96"/>
      <c r="WUH96"/>
      <c r="WUI96"/>
      <c r="WUJ96"/>
      <c r="WUK96"/>
      <c r="WUL96"/>
      <c r="WUM96"/>
      <c r="WUN96"/>
      <c r="WUO96"/>
      <c r="WUP96"/>
      <c r="WUQ96"/>
      <c r="WUR96"/>
      <c r="WUS96"/>
      <c r="WUT96"/>
      <c r="WUU96"/>
      <c r="WUV96"/>
      <c r="WUW96"/>
      <c r="WUX96"/>
      <c r="WUY96"/>
      <c r="WUZ96"/>
      <c r="WVA96"/>
      <c r="WVB96"/>
      <c r="WVC96"/>
      <c r="WVD96"/>
      <c r="WVE96"/>
      <c r="WVF96"/>
      <c r="WVG96"/>
      <c r="WVH96"/>
      <c r="WVI96"/>
      <c r="WVJ96"/>
      <c r="WVK96"/>
      <c r="WVL96"/>
      <c r="WVM96"/>
      <c r="WVN96"/>
      <c r="WVO96"/>
      <c r="WVP96"/>
      <c r="WVQ96"/>
      <c r="WVR96"/>
      <c r="WVS96"/>
      <c r="WVT96"/>
      <c r="WVU96"/>
      <c r="WVV96"/>
      <c r="WVW96"/>
      <c r="WVX96"/>
      <c r="WVY96"/>
      <c r="WVZ96"/>
      <c r="WWA96"/>
      <c r="WWB96"/>
      <c r="WWC96"/>
      <c r="WWD96"/>
      <c r="WWE96"/>
      <c r="WWF96"/>
      <c r="WWG96"/>
      <c r="WWH96"/>
      <c r="WWI96"/>
      <c r="WWJ96"/>
      <c r="WWK96"/>
      <c r="WWL96"/>
      <c r="WWM96"/>
      <c r="WWN96"/>
      <c r="WWO96"/>
      <c r="WWP96"/>
      <c r="WWQ96"/>
      <c r="WWR96"/>
      <c r="WWS96"/>
      <c r="WWT96"/>
      <c r="WWU96"/>
      <c r="WWV96"/>
      <c r="WWW96"/>
      <c r="WWX96"/>
      <c r="WWY96"/>
      <c r="WWZ96"/>
      <c r="WXA96"/>
      <c r="WXB96"/>
      <c r="WXC96"/>
      <c r="WXD96"/>
      <c r="WXE96"/>
      <c r="WXF96"/>
      <c r="WXG96"/>
      <c r="WXH96"/>
      <c r="WXI96"/>
      <c r="WXJ96"/>
      <c r="WXK96"/>
      <c r="WXL96"/>
      <c r="WXM96"/>
      <c r="WXN96"/>
      <c r="WXO96"/>
      <c r="WXP96"/>
      <c r="WXQ96"/>
      <c r="WXR96"/>
      <c r="WXS96"/>
      <c r="WXT96"/>
      <c r="WXU96"/>
      <c r="WXV96"/>
      <c r="WXW96"/>
      <c r="WXX96"/>
      <c r="WXY96"/>
      <c r="WXZ96"/>
      <c r="WYA96"/>
      <c r="WYB96"/>
      <c r="WYC96"/>
      <c r="WYD96"/>
      <c r="WYE96"/>
      <c r="WYF96"/>
      <c r="WYG96"/>
      <c r="WYH96"/>
      <c r="WYI96"/>
      <c r="WYJ96"/>
      <c r="WYK96"/>
      <c r="WYL96"/>
      <c r="WYM96"/>
      <c r="WYN96"/>
      <c r="WYO96"/>
      <c r="WYP96"/>
      <c r="WYQ96"/>
      <c r="WYR96"/>
      <c r="WYS96"/>
      <c r="WYT96"/>
      <c r="WYU96"/>
      <c r="WYV96"/>
      <c r="WYW96"/>
      <c r="WYX96"/>
      <c r="WYY96"/>
      <c r="WYZ96"/>
      <c r="WZA96"/>
      <c r="WZB96"/>
      <c r="WZC96"/>
      <c r="WZD96"/>
      <c r="WZE96"/>
      <c r="WZF96"/>
      <c r="WZG96"/>
      <c r="WZH96"/>
      <c r="WZI96"/>
      <c r="WZJ96"/>
      <c r="WZK96"/>
      <c r="WZL96"/>
      <c r="WZM96"/>
      <c r="WZN96"/>
      <c r="WZO96"/>
      <c r="WZP96"/>
      <c r="WZQ96"/>
      <c r="WZR96"/>
      <c r="WZS96"/>
      <c r="WZT96"/>
      <c r="WZU96"/>
      <c r="WZV96"/>
      <c r="WZW96"/>
      <c r="WZX96"/>
      <c r="WZY96"/>
      <c r="WZZ96"/>
      <c r="XAA96"/>
      <c r="XAB96"/>
      <c r="XAC96"/>
      <c r="XAD96"/>
      <c r="XAE96"/>
      <c r="XAF96"/>
      <c r="XAG96"/>
      <c r="XAH96"/>
      <c r="XAI96"/>
      <c r="XAJ96"/>
      <c r="XAK96"/>
      <c r="XAL96"/>
      <c r="XAM96"/>
      <c r="XAN96"/>
      <c r="XAO96"/>
      <c r="XAP96"/>
      <c r="XAQ96"/>
      <c r="XAR96"/>
      <c r="XAS96"/>
      <c r="XAT96"/>
      <c r="XAU96"/>
      <c r="XAV96"/>
      <c r="XAW96"/>
      <c r="XAX96"/>
      <c r="XAY96"/>
      <c r="XAZ96"/>
      <c r="XBA96"/>
      <c r="XBB96"/>
      <c r="XBC96"/>
      <c r="XBD96"/>
      <c r="XBE96"/>
      <c r="XBF96"/>
      <c r="XBG96"/>
      <c r="XBH96"/>
      <c r="XBI96"/>
      <c r="XBJ96"/>
      <c r="XBK96"/>
      <c r="XBL96"/>
      <c r="XBM96"/>
      <c r="XBN96"/>
      <c r="XBO96"/>
      <c r="XBP96"/>
      <c r="XBQ96"/>
      <c r="XBR96"/>
      <c r="XBS96"/>
      <c r="XBT96"/>
      <c r="XBU96"/>
      <c r="XBV96"/>
      <c r="XBW96"/>
      <c r="XBX96"/>
      <c r="XBY96"/>
      <c r="XBZ96"/>
      <c r="XCA96"/>
      <c r="XCB96"/>
      <c r="XCC96"/>
      <c r="XCD96"/>
      <c r="XCE96"/>
      <c r="XCF96"/>
      <c r="XCG96"/>
      <c r="XCH96"/>
      <c r="XCI96"/>
      <c r="XCJ96"/>
      <c r="XCK96"/>
      <c r="XCL96"/>
      <c r="XCM96"/>
      <c r="XCN96"/>
      <c r="XCO96"/>
      <c r="XCP96"/>
      <c r="XCQ96"/>
      <c r="XCR96"/>
      <c r="XCS96"/>
      <c r="XCT96"/>
      <c r="XCU96"/>
      <c r="XCV96"/>
      <c r="XCW96"/>
      <c r="XCX96"/>
      <c r="XCY96"/>
      <c r="XCZ96"/>
      <c r="XDA96"/>
      <c r="XDB96"/>
      <c r="XDC96"/>
      <c r="XDD96"/>
      <c r="XDE96"/>
      <c r="XDF96"/>
      <c r="XDG96"/>
      <c r="XDH96"/>
      <c r="XDI96"/>
      <c r="XDJ96"/>
      <c r="XDK96"/>
      <c r="XDL96"/>
      <c r="XDM96"/>
      <c r="XDN96"/>
      <c r="XDO96"/>
      <c r="XDP96"/>
      <c r="XDQ96"/>
      <c r="XDR96"/>
      <c r="XDS96"/>
      <c r="XDT96"/>
      <c r="XDU96"/>
      <c r="XDV96"/>
      <c r="XDW96"/>
      <c r="XDX96"/>
      <c r="XDY96"/>
    </row>
    <row r="97" spans="1:5">
      <c r="A97" s="234"/>
    </row>
    <row r="98" spans="1:5">
      <c r="A98" s="237" t="s">
        <v>229</v>
      </c>
    </row>
    <row r="99" spans="1:5">
      <c r="A99" s="464" t="s">
        <v>97</v>
      </c>
      <c r="B99" s="434"/>
    </row>
    <row r="100" spans="1:5">
      <c r="A100" s="464"/>
      <c r="B100" s="434"/>
    </row>
    <row r="101" spans="1:5">
      <c r="A101" s="464"/>
      <c r="B101" s="434"/>
    </row>
    <row r="102" spans="1:5">
      <c r="A102" s="464"/>
      <c r="B102" s="434"/>
    </row>
    <row r="103" spans="1:5">
      <c r="A103" s="464"/>
      <c r="B103" s="434"/>
    </row>
    <row r="104" spans="1:5">
      <c r="A104" s="464"/>
      <c r="B104" s="434"/>
    </row>
    <row r="105" spans="1:5">
      <c r="A105" s="464" t="s">
        <v>104</v>
      </c>
      <c r="B105" s="434"/>
    </row>
    <row r="106" spans="1:5">
      <c r="A106" s="234"/>
      <c r="B106" s="434"/>
    </row>
    <row r="107" spans="1:5">
      <c r="A107" s="234"/>
      <c r="B107" s="434"/>
    </row>
    <row r="108" spans="1:5">
      <c r="A108" s="237" t="s">
        <v>236</v>
      </c>
      <c r="B108" s="434"/>
    </row>
    <row r="109" spans="1:5">
      <c r="A109" s="464" t="s">
        <v>237</v>
      </c>
      <c r="B109" s="434"/>
      <c r="C109" s="18"/>
      <c r="D109" s="18"/>
      <c r="E109" s="18"/>
    </row>
    <row r="110" spans="1:5">
      <c r="A110" s="464"/>
      <c r="B110" s="434"/>
      <c r="C110" s="18"/>
      <c r="D110" s="18"/>
      <c r="E110" s="18"/>
    </row>
    <row r="111" spans="1:5">
      <c r="A111" s="464"/>
      <c r="B111" s="434"/>
      <c r="C111" s="18"/>
      <c r="D111" s="18"/>
      <c r="E111" s="18"/>
    </row>
    <row r="112" spans="1:5">
      <c r="A112" s="464"/>
      <c r="B112" s="434"/>
      <c r="C112" s="18"/>
      <c r="D112" s="18"/>
      <c r="E112" s="18"/>
    </row>
    <row r="113" spans="1:27">
      <c r="A113" s="464" t="s">
        <v>161</v>
      </c>
      <c r="B113" s="434"/>
    </row>
    <row r="114" spans="1:27">
      <c r="A114" s="464"/>
      <c r="B114" s="434"/>
    </row>
    <row r="115" spans="1:27">
      <c r="A115" s="464"/>
      <c r="B115" s="434"/>
    </row>
    <row r="116" spans="1:27">
      <c r="A116" s="464" t="s">
        <v>206</v>
      </c>
      <c r="B116" s="434"/>
    </row>
    <row r="117" spans="1:27">
      <c r="A117" s="234"/>
      <c r="B117" s="434"/>
    </row>
    <row r="118" spans="1:27">
      <c r="A118" s="234"/>
      <c r="B118" s="434"/>
    </row>
    <row r="119" spans="1:27">
      <c r="A119" s="237" t="s">
        <v>243</v>
      </c>
      <c r="B119" s="434"/>
    </row>
    <row r="120" spans="1:27">
      <c r="A120" s="464" t="s">
        <v>89</v>
      </c>
      <c r="B120" s="434"/>
    </row>
    <row r="121" spans="1:27">
      <c r="A121" s="464"/>
      <c r="B121" s="434"/>
    </row>
    <row r="122" spans="1:27">
      <c r="A122" s="464"/>
      <c r="B122" s="434"/>
    </row>
    <row r="123" spans="1:27">
      <c r="A123" s="464"/>
      <c r="B123" s="434"/>
    </row>
    <row r="124" spans="1:27">
      <c r="A124" s="464"/>
      <c r="B124" s="434"/>
    </row>
    <row r="125" spans="1:27">
      <c r="A125" s="464" t="s">
        <v>84</v>
      </c>
      <c r="B125" s="434"/>
    </row>
    <row r="126" spans="1:27">
      <c r="A126" s="464"/>
      <c r="B126" s="434"/>
    </row>
    <row r="127" spans="1:27">
      <c r="A127" s="464"/>
      <c r="B127" s="434"/>
    </row>
    <row r="128" spans="1:27">
      <c r="A128" s="465"/>
      <c r="B128" s="533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  <c r="AA128" s="236"/>
    </row>
    <row r="129" spans="1:26 16323:16353">
      <c r="B129" s="434"/>
    </row>
    <row r="130" spans="1:26 16323:16353">
      <c r="A130" s="233" t="s">
        <v>245</v>
      </c>
      <c r="B130" s="44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XCU130" s="15"/>
      <c r="XCV130" s="15"/>
      <c r="XCW130" s="15"/>
      <c r="XCX130" s="15"/>
      <c r="XCY130" s="15"/>
      <c r="XCZ130" s="15"/>
      <c r="XDA130" s="15"/>
      <c r="XDB130" s="15"/>
      <c r="XDC130" s="15"/>
      <c r="XDD130" s="15"/>
      <c r="XDE130" s="15"/>
      <c r="XDF130" s="15"/>
      <c r="XDG130" s="15"/>
      <c r="XDH130" s="15"/>
      <c r="XDI130" s="15"/>
      <c r="XDJ130" s="15"/>
      <c r="XDK130" s="15"/>
      <c r="XDL130" s="15"/>
      <c r="XDM130" s="15"/>
      <c r="XDN130" s="15"/>
      <c r="XDO130" s="15"/>
      <c r="XDP130" s="15"/>
      <c r="XDQ130" s="15"/>
      <c r="XDR130" s="15"/>
      <c r="XDS130" s="15"/>
      <c r="XDT130" s="15"/>
      <c r="XDU130" s="15"/>
      <c r="XDV130" s="15"/>
      <c r="XDW130" s="15"/>
      <c r="XDX130" s="15"/>
      <c r="XDY130" s="15"/>
    </row>
    <row r="131" spans="1:26 16323:16353">
      <c r="A131" s="234"/>
    </row>
    <row r="132" spans="1:26 16323:16353">
      <c r="A132" s="237" t="s">
        <v>229</v>
      </c>
    </row>
    <row r="133" spans="1:26 16323:16353">
      <c r="A133" s="464" t="s">
        <v>97</v>
      </c>
      <c r="B133" s="434"/>
    </row>
    <row r="134" spans="1:26 16323:16353">
      <c r="A134" s="464"/>
      <c r="B134" s="434"/>
    </row>
    <row r="135" spans="1:26 16323:16353">
      <c r="A135" s="464"/>
      <c r="B135" s="434"/>
    </row>
    <row r="136" spans="1:26 16323:16353">
      <c r="A136" s="464"/>
      <c r="B136" s="434"/>
    </row>
    <row r="137" spans="1:26 16323:16353">
      <c r="A137" s="464"/>
      <c r="B137" s="434"/>
    </row>
    <row r="138" spans="1:26 16323:16353">
      <c r="A138" s="464"/>
      <c r="B138" s="434"/>
    </row>
    <row r="139" spans="1:26 16323:16353">
      <c r="A139" s="464" t="s">
        <v>104</v>
      </c>
      <c r="B139" s="434"/>
    </row>
    <row r="140" spans="1:26 16323:16353">
      <c r="A140" s="234"/>
      <c r="B140" s="434"/>
    </row>
    <row r="141" spans="1:26 16323:16353">
      <c r="A141" s="234"/>
      <c r="B141" s="434"/>
    </row>
    <row r="142" spans="1:26 16323:16353">
      <c r="A142" s="237" t="s">
        <v>236</v>
      </c>
      <c r="B142" s="434"/>
    </row>
    <row r="143" spans="1:26 16323:16353">
      <c r="A143" s="464" t="s">
        <v>237</v>
      </c>
      <c r="B143" s="434"/>
      <c r="C143" s="18"/>
      <c r="D143" s="18"/>
      <c r="E143" s="18"/>
    </row>
    <row r="144" spans="1:26 16323:16353">
      <c r="A144" s="464"/>
      <c r="B144" s="434"/>
      <c r="C144" s="18"/>
      <c r="D144" s="18"/>
      <c r="E144" s="18"/>
    </row>
    <row r="145" spans="1:5">
      <c r="A145" s="464"/>
      <c r="B145" s="434"/>
      <c r="C145" s="18"/>
      <c r="D145" s="18"/>
      <c r="E145" s="18"/>
    </row>
    <row r="146" spans="1:5">
      <c r="A146" s="464"/>
      <c r="B146" s="434"/>
      <c r="C146" s="18"/>
      <c r="D146" s="18"/>
      <c r="E146" s="18"/>
    </row>
    <row r="147" spans="1:5">
      <c r="A147" s="464" t="s">
        <v>161</v>
      </c>
      <c r="B147" s="434"/>
    </row>
    <row r="148" spans="1:5">
      <c r="A148" s="464"/>
      <c r="B148" s="434"/>
    </row>
    <row r="149" spans="1:5">
      <c r="A149" s="464"/>
      <c r="B149" s="434"/>
    </row>
    <row r="150" spans="1:5">
      <c r="A150" s="464" t="s">
        <v>206</v>
      </c>
      <c r="B150" s="434"/>
    </row>
    <row r="151" spans="1:5">
      <c r="A151" s="234"/>
      <c r="B151" s="434"/>
    </row>
    <row r="152" spans="1:5">
      <c r="A152" s="234"/>
      <c r="B152" s="434"/>
    </row>
    <row r="153" spans="1:5">
      <c r="A153" s="237" t="s">
        <v>243</v>
      </c>
      <c r="B153" s="434"/>
    </row>
    <row r="154" spans="1:5">
      <c r="A154" s="464" t="s">
        <v>89</v>
      </c>
      <c r="B154" s="434"/>
    </row>
    <row r="155" spans="1:5">
      <c r="A155" s="464"/>
      <c r="B155" s="434"/>
    </row>
    <row r="156" spans="1:5">
      <c r="A156" s="464"/>
      <c r="B156" s="434"/>
    </row>
    <row r="157" spans="1:5">
      <c r="A157" s="464"/>
      <c r="B157" s="434"/>
    </row>
    <row r="158" spans="1:5">
      <c r="A158" s="464"/>
      <c r="B158" s="434"/>
    </row>
    <row r="159" spans="1:5">
      <c r="A159" s="464" t="s">
        <v>84</v>
      </c>
      <c r="B159" s="434"/>
    </row>
    <row r="160" spans="1:5">
      <c r="A160" s="464"/>
      <c r="B160" s="434"/>
    </row>
    <row r="161" spans="1:26">
      <c r="A161" s="464"/>
      <c r="B161" s="434"/>
    </row>
    <row r="162" spans="1:26">
      <c r="A162" s="465"/>
      <c r="B162" s="533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</row>
  </sheetData>
  <autoFilter ref="A7:IR59" xr:uid="{05D63156-A893-47C2-AC51-FBDFF1BF31EA}"/>
  <mergeCells count="44">
    <mergeCell ref="AE51:AE59"/>
    <mergeCell ref="AF51:AF59"/>
    <mergeCell ref="AG55:AG59"/>
    <mergeCell ref="AE26:AE35"/>
    <mergeCell ref="AF26:AF35"/>
    <mergeCell ref="AG26:AG28"/>
    <mergeCell ref="AG29:AG35"/>
    <mergeCell ref="AE39:AE47"/>
    <mergeCell ref="AF39:AF47"/>
    <mergeCell ref="AG39:AG42"/>
    <mergeCell ref="AG43:AG47"/>
    <mergeCell ref="AG51:AG54"/>
    <mergeCell ref="AI6:AI7"/>
    <mergeCell ref="AJ6:AM6"/>
    <mergeCell ref="C26:C28"/>
    <mergeCell ref="C29:C35"/>
    <mergeCell ref="E6:E7"/>
    <mergeCell ref="F6:I6"/>
    <mergeCell ref="C10:C13"/>
    <mergeCell ref="D6:D7"/>
    <mergeCell ref="C14:C18"/>
    <mergeCell ref="C19:C23"/>
    <mergeCell ref="AE6:AF6"/>
    <mergeCell ref="AE10:AE23"/>
    <mergeCell ref="AF10:AF23"/>
    <mergeCell ref="AG10:AG13"/>
    <mergeCell ref="AG14:AG18"/>
    <mergeCell ref="AG19:AG23"/>
    <mergeCell ref="A1:B3"/>
    <mergeCell ref="A6:B6"/>
    <mergeCell ref="A10:A23"/>
    <mergeCell ref="B10:B23"/>
    <mergeCell ref="AH6:AH7"/>
    <mergeCell ref="C1:AD3"/>
    <mergeCell ref="C55:C59"/>
    <mergeCell ref="A51:A59"/>
    <mergeCell ref="B51:B59"/>
    <mergeCell ref="C43:C47"/>
    <mergeCell ref="A26:A35"/>
    <mergeCell ref="B26:B35"/>
    <mergeCell ref="A39:A47"/>
    <mergeCell ref="B39:B47"/>
    <mergeCell ref="C51:C54"/>
    <mergeCell ref="C39:C42"/>
  </mergeCells>
  <conditionalFormatting sqref="BH10">
    <cfRule type="iconSet" priority="19">
      <iconSet reverse="1">
        <cfvo type="percent" val="0"/>
        <cfvo type="num" val="$K$10/2" gte="0"/>
        <cfvo type="num" val="$K$10"/>
      </iconSet>
    </cfRule>
  </conditionalFormatting>
  <conditionalFormatting sqref="BH11:BH12">
    <cfRule type="iconSet" priority="13">
      <iconSet>
        <cfvo type="percent" val="0"/>
        <cfvo type="num" val="$K$11*0.7" gte="0"/>
        <cfvo type="num" val="$K$11"/>
      </iconSet>
    </cfRule>
  </conditionalFormatting>
  <conditionalFormatting sqref="BH13">
    <cfRule type="iconSet" priority="21">
      <iconSet reverse="1">
        <cfvo type="percent" val="0"/>
        <cfvo type="num" val="#REF!*0.7" gte="0"/>
        <cfvo type="num" val="#REF!" gte="0"/>
      </iconSet>
    </cfRule>
  </conditionalFormatting>
  <conditionalFormatting sqref="BH15:BH17">
    <cfRule type="iconSet" priority="24">
      <iconSet>
        <cfvo type="percent" val="0"/>
        <cfvo type="num" val="#REF!"/>
        <cfvo type="num" val="#REF!"/>
      </iconSet>
    </cfRule>
  </conditionalFormatting>
  <conditionalFormatting sqref="BH18">
    <cfRule type="iconSet" priority="25">
      <iconSet>
        <cfvo type="percent" val="0"/>
        <cfvo type="num" val="#REF!"/>
        <cfvo type="num" val="#REF!"/>
      </iconSet>
    </cfRule>
  </conditionalFormatting>
  <conditionalFormatting sqref="BH19">
    <cfRule type="iconSet" priority="26">
      <iconSet>
        <cfvo type="percent" val="0"/>
        <cfvo type="num" val="#REF!*0.7" gte="0"/>
        <cfvo type="num" val="#REF!"/>
      </iconSet>
    </cfRule>
  </conditionalFormatting>
  <conditionalFormatting sqref="BH20">
    <cfRule type="iconSet" priority="27">
      <iconSet>
        <cfvo type="percent" val="0"/>
        <cfvo type="num" val="#REF!*0.7"/>
        <cfvo type="num" val="#REF!"/>
      </iconSet>
    </cfRule>
  </conditionalFormatting>
  <conditionalFormatting sqref="BH21">
    <cfRule type="iconSet" priority="14">
      <iconSet>
        <cfvo type="percent" val="0"/>
        <cfvo type="num" val="$K$21"/>
        <cfvo type="num" val="$K$21"/>
      </iconSet>
    </cfRule>
  </conditionalFormatting>
  <conditionalFormatting sqref="BH22">
    <cfRule type="iconSet" priority="15">
      <iconSet>
        <cfvo type="percent" val="0"/>
        <cfvo type="num" val="$K$22"/>
        <cfvo type="num" val="$K$22" gte="0"/>
      </iconSet>
    </cfRule>
  </conditionalFormatting>
  <conditionalFormatting sqref="BH23">
    <cfRule type="iconSet" priority="28">
      <iconSet reverse="1">
        <cfvo type="percent" val="0"/>
        <cfvo type="num" val="#REF!" gte="0"/>
        <cfvo type="num" val="#REF!" gte="0"/>
      </iconSet>
    </cfRule>
    <cfRule type="iconSet" priority="29">
      <iconSet>
        <cfvo type="percent" val="0"/>
        <cfvo type="num" val="0.1" gte="0"/>
        <cfvo type="num" val="0.2"/>
      </iconSet>
    </cfRule>
  </conditionalFormatting>
  <conditionalFormatting sqref="BH26">
    <cfRule type="iconSet" priority="30">
      <iconSet>
        <cfvo type="percent" val="0"/>
        <cfvo type="num" val="#REF!/2"/>
        <cfvo type="num" val="#REF!"/>
      </iconSet>
    </cfRule>
  </conditionalFormatting>
  <conditionalFormatting sqref="BH27">
    <cfRule type="iconSet" priority="12">
      <iconSet reverse="1">
        <cfvo type="percent" val="0"/>
        <cfvo type="num" val="$K$27*0.7" gte="0"/>
        <cfvo type="num" val="$K$27" gte="0"/>
      </iconSet>
    </cfRule>
  </conditionalFormatting>
  <conditionalFormatting sqref="BH28">
    <cfRule type="iconSet" priority="16">
      <iconSet reverse="1">
        <cfvo type="percent" val="0"/>
        <cfvo type="num" val="$K$28*0.7" gte="0"/>
        <cfvo type="num" val="$K$28" gte="0"/>
      </iconSet>
    </cfRule>
  </conditionalFormatting>
  <conditionalFormatting sqref="BH29">
    <cfRule type="iconSet" priority="20">
      <iconSet>
        <cfvo type="percent" val="0"/>
        <cfvo type="num" val="$K$29*0.7"/>
        <cfvo type="num" val="$K$29"/>
      </iconSet>
    </cfRule>
  </conditionalFormatting>
  <conditionalFormatting sqref="BH32:BH34">
    <cfRule type="iconSet" priority="31">
      <iconSet>
        <cfvo type="percent" val="0"/>
        <cfvo type="num" val="#REF!*0.7"/>
        <cfvo type="num" val="#REF!"/>
      </iconSet>
    </cfRule>
  </conditionalFormatting>
  <conditionalFormatting sqref="BH39">
    <cfRule type="iconSet" priority="17">
      <iconSet>
        <cfvo type="percent" val="0"/>
        <cfvo type="num" val="$K$39*0.7"/>
        <cfvo type="num" val="$K$39" gte="0"/>
      </iconSet>
    </cfRule>
  </conditionalFormatting>
  <conditionalFormatting sqref="BH40">
    <cfRule type="iconSet" priority="11">
      <iconSet>
        <cfvo type="percent" val="0"/>
        <cfvo type="num" val="$K$40*0.7"/>
        <cfvo type="num" val="$K$40" gte="0"/>
      </iconSet>
    </cfRule>
  </conditionalFormatting>
  <conditionalFormatting sqref="BH42:BH44 BH46:BH47">
    <cfRule type="iconSet" priority="33">
      <iconSet>
        <cfvo type="percent" val="0"/>
        <cfvo type="num" val="#REF!*0.7" gte="0"/>
        <cfvo type="num" val="#REF!"/>
      </iconSet>
    </cfRule>
  </conditionalFormatting>
  <conditionalFormatting sqref="BH45">
    <cfRule type="iconSet" priority="22">
      <iconSet>
        <cfvo type="percent" val="0"/>
        <cfvo type="num" val="#REF!"/>
        <cfvo type="num" val="#REF!" gte="0"/>
      </iconSet>
    </cfRule>
  </conditionalFormatting>
  <conditionalFormatting sqref="BH51">
    <cfRule type="iconSet" priority="3">
      <iconSet>
        <cfvo type="percent" val="0"/>
        <cfvo type="num" val="$K$51*0.7" gte="0"/>
        <cfvo type="num" val="$K$51"/>
      </iconSet>
    </cfRule>
  </conditionalFormatting>
  <conditionalFormatting sqref="BH52">
    <cfRule type="iconSet" priority="4">
      <iconSet>
        <cfvo type="percent" val="0"/>
        <cfvo type="num" val="#REF!*0.7" gte="0"/>
        <cfvo type="num" val="#REF!"/>
      </iconSet>
    </cfRule>
  </conditionalFormatting>
  <conditionalFormatting sqref="BH53">
    <cfRule type="iconSet" priority="5">
      <iconSet>
        <cfvo type="percent" val="0"/>
        <cfvo type="num" val="#REF!/2"/>
        <cfvo type="num" val="#REF!"/>
      </iconSet>
    </cfRule>
  </conditionalFormatting>
  <conditionalFormatting sqref="BH54 BH56">
    <cfRule type="iconSet" priority="805">
      <iconSet>
        <cfvo type="percent" val="0"/>
        <cfvo type="num" val="#REF!*0.7" gte="0"/>
        <cfvo type="num" val="#REF!"/>
      </iconSet>
    </cfRule>
  </conditionalFormatting>
  <conditionalFormatting sqref="BH55">
    <cfRule type="iconSet" priority="1">
      <iconSet reverse="1">
        <cfvo type="percent" val="0"/>
        <cfvo type="num" val="$K$28*0.7" gte="0"/>
        <cfvo type="num" val="$K$28" gte="0"/>
      </iconSet>
    </cfRule>
  </conditionalFormatting>
  <conditionalFormatting sqref="BH57:BH58">
    <cfRule type="iconSet" priority="2">
      <iconSet reverse="1">
        <cfvo type="percent" val="0"/>
        <cfvo type="num" val="$K$28*0.7" gte="0"/>
        <cfvo type="num" val="$K$28" gte="0"/>
      </iconSet>
    </cfRule>
  </conditionalFormatting>
  <conditionalFormatting sqref="BH59">
    <cfRule type="iconSet" priority="7">
      <iconSet>
        <cfvo type="percent" val="0"/>
        <cfvo type="num" val="#REF!*0.7" gte="0"/>
        <cfvo type="num" val="#REF!"/>
      </iconSet>
    </cfRule>
  </conditionalFormatting>
  <printOptions horizontalCentered="1"/>
  <pageMargins left="0.39370078740157483" right="0.39370078740157483" top="0.39370078740157483" bottom="0.39370078740157483" header="0.39370078740157483" footer="0.39370078740157483"/>
  <pageSetup paperSize="9" scale="28" orientation="landscape" r:id="rId1"/>
  <headerFooter>
    <oddFooter>&amp;LDocument édité le &amp;D&amp;Rpage &amp;P/&amp;N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46A1FCA9-26C1-480C-B63A-345CCC27E801}">
            <x14:iconSet custom="1">
              <x14:cfvo type="percent">
                <xm:f>0</xm:f>
              </x14:cfvo>
              <x14:cfvo type="num">
                <xm:f>#REF!</xm:f>
              </x14:cfvo>
              <x14:cfvo type="num" gte="0">
                <xm:f>#REF!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BH14</xm:sqref>
        </x14:conditionalFormatting>
        <x14:conditionalFormatting xmlns:xm="http://schemas.microsoft.com/office/excel/2006/main">
          <x14:cfRule type="iconSet" priority="10" id="{A27D06B2-92DC-4CC3-9F6C-32E640171BFB}">
            <x14:iconSet custom="1">
              <x14:cfvo type="percent">
                <xm:f>0</xm:f>
              </x14:cfvo>
              <x14:cfvo type="num">
                <xm:f>$K$30</xm:f>
              </x14:cfvo>
              <x14:cfvo type="num" gte="0">
                <xm:f>$K$30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BH30</xm:sqref>
        </x14:conditionalFormatting>
        <x14:conditionalFormatting xmlns:xm="http://schemas.microsoft.com/office/excel/2006/main">
          <x14:cfRule type="iconSet" priority="8" id="{164D05C0-339D-4E94-9EEB-A66FD34A0C41}">
            <x14:iconSet custom="1">
              <x14:cfvo type="percent">
                <xm:f>0</xm:f>
              </x14:cfvo>
              <x14:cfvo type="num">
                <xm:f>$K$31</xm:f>
              </x14:cfvo>
              <x14:cfvo type="num" gte="0">
                <xm:f>$K$31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BH31</xm:sqref>
        </x14:conditionalFormatting>
        <x14:conditionalFormatting xmlns:xm="http://schemas.microsoft.com/office/excel/2006/main">
          <x14:cfRule type="iconSet" priority="32" id="{62BE84FA-D5B2-48D9-AED9-18DC9CFC631C}">
            <x14:iconSet custom="1">
              <x14:cfvo type="percent">
                <xm:f>0</xm:f>
              </x14:cfvo>
              <x14:cfvo type="num">
                <xm:f>#REF!/2</xm:f>
              </x14:cfvo>
              <x14:cfvo type="num" gte="0">
                <xm:f>#REF!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BH35:BH37</xm:sqref>
        </x14:conditionalFormatting>
        <x14:conditionalFormatting xmlns:xm="http://schemas.microsoft.com/office/excel/2006/main">
          <x14:cfRule type="iconSet" priority="18" id="{13B57B33-D682-4603-9946-872CBBC389F8}">
            <x14:iconSet custom="1">
              <x14:cfvo type="percent">
                <xm:f>0</xm:f>
              </x14:cfvo>
              <x14:cfvo type="num">
                <xm:f>$K$41</xm:f>
              </x14:cfvo>
              <x14:cfvo type="num" gte="0">
                <xm:f>$K$41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BH41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FB52-9B37-4E2C-970C-12B84E1FAD28}">
  <sheetPr>
    <tabColor rgb="FF00B050"/>
    <pageSetUpPr fitToPage="1"/>
  </sheetPr>
  <dimension ref="A1:K26"/>
  <sheetViews>
    <sheetView showGridLines="0" zoomScale="85" zoomScaleNormal="85" workbookViewId="0">
      <pane ySplit="3" topLeftCell="A4" activePane="bottomLeft" state="frozen"/>
      <selection pane="bottomLeft" activeCell="M24" sqref="M24"/>
      <selection activeCell="O32" sqref="O32"/>
    </sheetView>
  </sheetViews>
  <sheetFormatPr defaultColWidth="11.42578125" defaultRowHeight="15"/>
  <cols>
    <col min="1" max="1" width="18.140625" customWidth="1"/>
    <col min="2" max="2" width="33.7109375" customWidth="1"/>
    <col min="3" max="10" width="12" customWidth="1"/>
    <col min="247" max="247" width="18.140625" customWidth="1"/>
    <col min="248" max="248" width="46.140625" customWidth="1"/>
    <col min="249" max="249" width="10" customWidth="1"/>
    <col min="250" max="250" width="12.42578125" customWidth="1"/>
    <col min="251" max="251" width="16.140625" customWidth="1"/>
    <col min="252" max="252" width="25.28515625" customWidth="1"/>
    <col min="253" max="254" width="13.7109375" customWidth="1"/>
    <col min="255" max="255" width="12.140625" customWidth="1"/>
    <col min="256" max="256" width="9.7109375" customWidth="1"/>
    <col min="257" max="259" width="12.140625" customWidth="1"/>
    <col min="260" max="260" width="0" hidden="1" customWidth="1"/>
    <col min="261" max="266" width="12.140625" customWidth="1"/>
    <col min="503" max="503" width="18.140625" customWidth="1"/>
    <col min="504" max="504" width="46.140625" customWidth="1"/>
    <col min="505" max="505" width="10" customWidth="1"/>
    <col min="506" max="506" width="12.42578125" customWidth="1"/>
    <col min="507" max="507" width="16.140625" customWidth="1"/>
    <col min="508" max="508" width="25.28515625" customWidth="1"/>
    <col min="509" max="510" width="13.7109375" customWidth="1"/>
    <col min="511" max="511" width="12.140625" customWidth="1"/>
    <col min="512" max="512" width="9.7109375" customWidth="1"/>
    <col min="513" max="515" width="12.140625" customWidth="1"/>
    <col min="516" max="516" width="0" hidden="1" customWidth="1"/>
    <col min="517" max="522" width="12.140625" customWidth="1"/>
    <col min="759" max="759" width="18.140625" customWidth="1"/>
    <col min="760" max="760" width="46.140625" customWidth="1"/>
    <col min="761" max="761" width="10" customWidth="1"/>
    <col min="762" max="762" width="12.42578125" customWidth="1"/>
    <col min="763" max="763" width="16.140625" customWidth="1"/>
    <col min="764" max="764" width="25.28515625" customWidth="1"/>
    <col min="765" max="766" width="13.7109375" customWidth="1"/>
    <col min="767" max="767" width="12.140625" customWidth="1"/>
    <col min="768" max="768" width="9.7109375" customWidth="1"/>
    <col min="769" max="771" width="12.140625" customWidth="1"/>
    <col min="772" max="772" width="0" hidden="1" customWidth="1"/>
    <col min="773" max="778" width="12.140625" customWidth="1"/>
    <col min="1015" max="1015" width="18.140625" customWidth="1"/>
    <col min="1016" max="1016" width="46.140625" customWidth="1"/>
    <col min="1017" max="1017" width="10" customWidth="1"/>
    <col min="1018" max="1018" width="12.42578125" customWidth="1"/>
    <col min="1019" max="1019" width="16.140625" customWidth="1"/>
    <col min="1020" max="1020" width="25.28515625" customWidth="1"/>
    <col min="1021" max="1022" width="13.7109375" customWidth="1"/>
    <col min="1023" max="1023" width="12.140625" customWidth="1"/>
    <col min="1024" max="1024" width="9.7109375" customWidth="1"/>
    <col min="1025" max="1027" width="12.140625" customWidth="1"/>
    <col min="1028" max="1028" width="0" hidden="1" customWidth="1"/>
    <col min="1029" max="1034" width="12.140625" customWidth="1"/>
    <col min="1271" max="1271" width="18.140625" customWidth="1"/>
    <col min="1272" max="1272" width="46.140625" customWidth="1"/>
    <col min="1273" max="1273" width="10" customWidth="1"/>
    <col min="1274" max="1274" width="12.42578125" customWidth="1"/>
    <col min="1275" max="1275" width="16.140625" customWidth="1"/>
    <col min="1276" max="1276" width="25.28515625" customWidth="1"/>
    <col min="1277" max="1278" width="13.7109375" customWidth="1"/>
    <col min="1279" max="1279" width="12.140625" customWidth="1"/>
    <col min="1280" max="1280" width="9.7109375" customWidth="1"/>
    <col min="1281" max="1283" width="12.140625" customWidth="1"/>
    <col min="1284" max="1284" width="0" hidden="1" customWidth="1"/>
    <col min="1285" max="1290" width="12.140625" customWidth="1"/>
    <col min="1527" max="1527" width="18.140625" customWidth="1"/>
    <col min="1528" max="1528" width="46.140625" customWidth="1"/>
    <col min="1529" max="1529" width="10" customWidth="1"/>
    <col min="1530" max="1530" width="12.42578125" customWidth="1"/>
    <col min="1531" max="1531" width="16.140625" customWidth="1"/>
    <col min="1532" max="1532" width="25.28515625" customWidth="1"/>
    <col min="1533" max="1534" width="13.7109375" customWidth="1"/>
    <col min="1535" max="1535" width="12.140625" customWidth="1"/>
    <col min="1536" max="1536" width="9.7109375" customWidth="1"/>
    <col min="1537" max="1539" width="12.140625" customWidth="1"/>
    <col min="1540" max="1540" width="0" hidden="1" customWidth="1"/>
    <col min="1541" max="1546" width="12.140625" customWidth="1"/>
    <col min="1783" max="1783" width="18.140625" customWidth="1"/>
    <col min="1784" max="1784" width="46.140625" customWidth="1"/>
    <col min="1785" max="1785" width="10" customWidth="1"/>
    <col min="1786" max="1786" width="12.42578125" customWidth="1"/>
    <col min="1787" max="1787" width="16.140625" customWidth="1"/>
    <col min="1788" max="1788" width="25.28515625" customWidth="1"/>
    <col min="1789" max="1790" width="13.7109375" customWidth="1"/>
    <col min="1791" max="1791" width="12.140625" customWidth="1"/>
    <col min="1792" max="1792" width="9.7109375" customWidth="1"/>
    <col min="1793" max="1795" width="12.140625" customWidth="1"/>
    <col min="1796" max="1796" width="0" hidden="1" customWidth="1"/>
    <col min="1797" max="1802" width="12.140625" customWidth="1"/>
    <col min="2039" max="2039" width="18.140625" customWidth="1"/>
    <col min="2040" max="2040" width="46.140625" customWidth="1"/>
    <col min="2041" max="2041" width="10" customWidth="1"/>
    <col min="2042" max="2042" width="12.42578125" customWidth="1"/>
    <col min="2043" max="2043" width="16.140625" customWidth="1"/>
    <col min="2044" max="2044" width="25.28515625" customWidth="1"/>
    <col min="2045" max="2046" width="13.7109375" customWidth="1"/>
    <col min="2047" max="2047" width="12.140625" customWidth="1"/>
    <col min="2048" max="2048" width="9.7109375" customWidth="1"/>
    <col min="2049" max="2051" width="12.140625" customWidth="1"/>
    <col min="2052" max="2052" width="0" hidden="1" customWidth="1"/>
    <col min="2053" max="2058" width="12.140625" customWidth="1"/>
    <col min="2295" max="2295" width="18.140625" customWidth="1"/>
    <col min="2296" max="2296" width="46.140625" customWidth="1"/>
    <col min="2297" max="2297" width="10" customWidth="1"/>
    <col min="2298" max="2298" width="12.42578125" customWidth="1"/>
    <col min="2299" max="2299" width="16.140625" customWidth="1"/>
    <col min="2300" max="2300" width="25.28515625" customWidth="1"/>
    <col min="2301" max="2302" width="13.7109375" customWidth="1"/>
    <col min="2303" max="2303" width="12.140625" customWidth="1"/>
    <col min="2304" max="2304" width="9.7109375" customWidth="1"/>
    <col min="2305" max="2307" width="12.140625" customWidth="1"/>
    <col min="2308" max="2308" width="0" hidden="1" customWidth="1"/>
    <col min="2309" max="2314" width="12.140625" customWidth="1"/>
    <col min="2551" max="2551" width="18.140625" customWidth="1"/>
    <col min="2552" max="2552" width="46.140625" customWidth="1"/>
    <col min="2553" max="2553" width="10" customWidth="1"/>
    <col min="2554" max="2554" width="12.42578125" customWidth="1"/>
    <col min="2555" max="2555" width="16.140625" customWidth="1"/>
    <col min="2556" max="2556" width="25.28515625" customWidth="1"/>
    <col min="2557" max="2558" width="13.7109375" customWidth="1"/>
    <col min="2559" max="2559" width="12.140625" customWidth="1"/>
    <col min="2560" max="2560" width="9.7109375" customWidth="1"/>
    <col min="2561" max="2563" width="12.140625" customWidth="1"/>
    <col min="2564" max="2564" width="0" hidden="1" customWidth="1"/>
    <col min="2565" max="2570" width="12.140625" customWidth="1"/>
    <col min="2807" max="2807" width="18.140625" customWidth="1"/>
    <col min="2808" max="2808" width="46.140625" customWidth="1"/>
    <col min="2809" max="2809" width="10" customWidth="1"/>
    <col min="2810" max="2810" width="12.42578125" customWidth="1"/>
    <col min="2811" max="2811" width="16.140625" customWidth="1"/>
    <col min="2812" max="2812" width="25.28515625" customWidth="1"/>
    <col min="2813" max="2814" width="13.7109375" customWidth="1"/>
    <col min="2815" max="2815" width="12.140625" customWidth="1"/>
    <col min="2816" max="2816" width="9.7109375" customWidth="1"/>
    <col min="2817" max="2819" width="12.140625" customWidth="1"/>
    <col min="2820" max="2820" width="0" hidden="1" customWidth="1"/>
    <col min="2821" max="2826" width="12.140625" customWidth="1"/>
    <col min="3063" max="3063" width="18.140625" customWidth="1"/>
    <col min="3064" max="3064" width="46.140625" customWidth="1"/>
    <col min="3065" max="3065" width="10" customWidth="1"/>
    <col min="3066" max="3066" width="12.42578125" customWidth="1"/>
    <col min="3067" max="3067" width="16.140625" customWidth="1"/>
    <col min="3068" max="3068" width="25.28515625" customWidth="1"/>
    <col min="3069" max="3070" width="13.7109375" customWidth="1"/>
    <col min="3071" max="3071" width="12.140625" customWidth="1"/>
    <col min="3072" max="3072" width="9.7109375" customWidth="1"/>
    <col min="3073" max="3075" width="12.140625" customWidth="1"/>
    <col min="3076" max="3076" width="0" hidden="1" customWidth="1"/>
    <col min="3077" max="3082" width="12.140625" customWidth="1"/>
    <col min="3319" max="3319" width="18.140625" customWidth="1"/>
    <col min="3320" max="3320" width="46.140625" customWidth="1"/>
    <col min="3321" max="3321" width="10" customWidth="1"/>
    <col min="3322" max="3322" width="12.42578125" customWidth="1"/>
    <col min="3323" max="3323" width="16.140625" customWidth="1"/>
    <col min="3324" max="3324" width="25.28515625" customWidth="1"/>
    <col min="3325" max="3326" width="13.7109375" customWidth="1"/>
    <col min="3327" max="3327" width="12.140625" customWidth="1"/>
    <col min="3328" max="3328" width="9.7109375" customWidth="1"/>
    <col min="3329" max="3331" width="12.140625" customWidth="1"/>
    <col min="3332" max="3332" width="0" hidden="1" customWidth="1"/>
    <col min="3333" max="3338" width="12.140625" customWidth="1"/>
    <col min="3575" max="3575" width="18.140625" customWidth="1"/>
    <col min="3576" max="3576" width="46.140625" customWidth="1"/>
    <col min="3577" max="3577" width="10" customWidth="1"/>
    <col min="3578" max="3578" width="12.42578125" customWidth="1"/>
    <col min="3579" max="3579" width="16.140625" customWidth="1"/>
    <col min="3580" max="3580" width="25.28515625" customWidth="1"/>
    <col min="3581" max="3582" width="13.7109375" customWidth="1"/>
    <col min="3583" max="3583" width="12.140625" customWidth="1"/>
    <col min="3584" max="3584" width="9.7109375" customWidth="1"/>
    <col min="3585" max="3587" width="12.140625" customWidth="1"/>
    <col min="3588" max="3588" width="0" hidden="1" customWidth="1"/>
    <col min="3589" max="3594" width="12.140625" customWidth="1"/>
    <col min="3831" max="3831" width="18.140625" customWidth="1"/>
    <col min="3832" max="3832" width="46.140625" customWidth="1"/>
    <col min="3833" max="3833" width="10" customWidth="1"/>
    <col min="3834" max="3834" width="12.42578125" customWidth="1"/>
    <col min="3835" max="3835" width="16.140625" customWidth="1"/>
    <col min="3836" max="3836" width="25.28515625" customWidth="1"/>
    <col min="3837" max="3838" width="13.7109375" customWidth="1"/>
    <col min="3839" max="3839" width="12.140625" customWidth="1"/>
    <col min="3840" max="3840" width="9.7109375" customWidth="1"/>
    <col min="3841" max="3843" width="12.140625" customWidth="1"/>
    <col min="3844" max="3844" width="0" hidden="1" customWidth="1"/>
    <col min="3845" max="3850" width="12.140625" customWidth="1"/>
    <col min="4087" max="4087" width="18.140625" customWidth="1"/>
    <col min="4088" max="4088" width="46.140625" customWidth="1"/>
    <col min="4089" max="4089" width="10" customWidth="1"/>
    <col min="4090" max="4090" width="12.42578125" customWidth="1"/>
    <col min="4091" max="4091" width="16.140625" customWidth="1"/>
    <col min="4092" max="4092" width="25.28515625" customWidth="1"/>
    <col min="4093" max="4094" width="13.7109375" customWidth="1"/>
    <col min="4095" max="4095" width="12.140625" customWidth="1"/>
    <col min="4096" max="4096" width="9.7109375" customWidth="1"/>
    <col min="4097" max="4099" width="12.140625" customWidth="1"/>
    <col min="4100" max="4100" width="0" hidden="1" customWidth="1"/>
    <col min="4101" max="4106" width="12.140625" customWidth="1"/>
    <col min="4343" max="4343" width="18.140625" customWidth="1"/>
    <col min="4344" max="4344" width="46.140625" customWidth="1"/>
    <col min="4345" max="4345" width="10" customWidth="1"/>
    <col min="4346" max="4346" width="12.42578125" customWidth="1"/>
    <col min="4347" max="4347" width="16.140625" customWidth="1"/>
    <col min="4348" max="4348" width="25.28515625" customWidth="1"/>
    <col min="4349" max="4350" width="13.7109375" customWidth="1"/>
    <col min="4351" max="4351" width="12.140625" customWidth="1"/>
    <col min="4352" max="4352" width="9.7109375" customWidth="1"/>
    <col min="4353" max="4355" width="12.140625" customWidth="1"/>
    <col min="4356" max="4356" width="0" hidden="1" customWidth="1"/>
    <col min="4357" max="4362" width="12.140625" customWidth="1"/>
    <col min="4599" max="4599" width="18.140625" customWidth="1"/>
    <col min="4600" max="4600" width="46.140625" customWidth="1"/>
    <col min="4601" max="4601" width="10" customWidth="1"/>
    <col min="4602" max="4602" width="12.42578125" customWidth="1"/>
    <col min="4603" max="4603" width="16.140625" customWidth="1"/>
    <col min="4604" max="4604" width="25.28515625" customWidth="1"/>
    <col min="4605" max="4606" width="13.7109375" customWidth="1"/>
    <col min="4607" max="4607" width="12.140625" customWidth="1"/>
    <col min="4608" max="4608" width="9.7109375" customWidth="1"/>
    <col min="4609" max="4611" width="12.140625" customWidth="1"/>
    <col min="4612" max="4612" width="0" hidden="1" customWidth="1"/>
    <col min="4613" max="4618" width="12.140625" customWidth="1"/>
    <col min="4855" max="4855" width="18.140625" customWidth="1"/>
    <col min="4856" max="4856" width="46.140625" customWidth="1"/>
    <col min="4857" max="4857" width="10" customWidth="1"/>
    <col min="4858" max="4858" width="12.42578125" customWidth="1"/>
    <col min="4859" max="4859" width="16.140625" customWidth="1"/>
    <col min="4860" max="4860" width="25.28515625" customWidth="1"/>
    <col min="4861" max="4862" width="13.7109375" customWidth="1"/>
    <col min="4863" max="4863" width="12.140625" customWidth="1"/>
    <col min="4864" max="4864" width="9.7109375" customWidth="1"/>
    <col min="4865" max="4867" width="12.140625" customWidth="1"/>
    <col min="4868" max="4868" width="0" hidden="1" customWidth="1"/>
    <col min="4869" max="4874" width="12.140625" customWidth="1"/>
    <col min="5111" max="5111" width="18.140625" customWidth="1"/>
    <col min="5112" max="5112" width="46.140625" customWidth="1"/>
    <col min="5113" max="5113" width="10" customWidth="1"/>
    <col min="5114" max="5114" width="12.42578125" customWidth="1"/>
    <col min="5115" max="5115" width="16.140625" customWidth="1"/>
    <col min="5116" max="5116" width="25.28515625" customWidth="1"/>
    <col min="5117" max="5118" width="13.7109375" customWidth="1"/>
    <col min="5119" max="5119" width="12.140625" customWidth="1"/>
    <col min="5120" max="5120" width="9.7109375" customWidth="1"/>
    <col min="5121" max="5123" width="12.140625" customWidth="1"/>
    <col min="5124" max="5124" width="0" hidden="1" customWidth="1"/>
    <col min="5125" max="5130" width="12.140625" customWidth="1"/>
    <col min="5367" max="5367" width="18.140625" customWidth="1"/>
    <col min="5368" max="5368" width="46.140625" customWidth="1"/>
    <col min="5369" max="5369" width="10" customWidth="1"/>
    <col min="5370" max="5370" width="12.42578125" customWidth="1"/>
    <col min="5371" max="5371" width="16.140625" customWidth="1"/>
    <col min="5372" max="5372" width="25.28515625" customWidth="1"/>
    <col min="5373" max="5374" width="13.7109375" customWidth="1"/>
    <col min="5375" max="5375" width="12.140625" customWidth="1"/>
    <col min="5376" max="5376" width="9.7109375" customWidth="1"/>
    <col min="5377" max="5379" width="12.140625" customWidth="1"/>
    <col min="5380" max="5380" width="0" hidden="1" customWidth="1"/>
    <col min="5381" max="5386" width="12.140625" customWidth="1"/>
    <col min="5623" max="5623" width="18.140625" customWidth="1"/>
    <col min="5624" max="5624" width="46.140625" customWidth="1"/>
    <col min="5625" max="5625" width="10" customWidth="1"/>
    <col min="5626" max="5626" width="12.42578125" customWidth="1"/>
    <col min="5627" max="5627" width="16.140625" customWidth="1"/>
    <col min="5628" max="5628" width="25.28515625" customWidth="1"/>
    <col min="5629" max="5630" width="13.7109375" customWidth="1"/>
    <col min="5631" max="5631" width="12.140625" customWidth="1"/>
    <col min="5632" max="5632" width="9.7109375" customWidth="1"/>
    <col min="5633" max="5635" width="12.140625" customWidth="1"/>
    <col min="5636" max="5636" width="0" hidden="1" customWidth="1"/>
    <col min="5637" max="5642" width="12.140625" customWidth="1"/>
    <col min="5879" max="5879" width="18.140625" customWidth="1"/>
    <col min="5880" max="5880" width="46.140625" customWidth="1"/>
    <col min="5881" max="5881" width="10" customWidth="1"/>
    <col min="5882" max="5882" width="12.42578125" customWidth="1"/>
    <col min="5883" max="5883" width="16.140625" customWidth="1"/>
    <col min="5884" max="5884" width="25.28515625" customWidth="1"/>
    <col min="5885" max="5886" width="13.7109375" customWidth="1"/>
    <col min="5887" max="5887" width="12.140625" customWidth="1"/>
    <col min="5888" max="5888" width="9.7109375" customWidth="1"/>
    <col min="5889" max="5891" width="12.140625" customWidth="1"/>
    <col min="5892" max="5892" width="0" hidden="1" customWidth="1"/>
    <col min="5893" max="5898" width="12.140625" customWidth="1"/>
    <col min="6135" max="6135" width="18.140625" customWidth="1"/>
    <col min="6136" max="6136" width="46.140625" customWidth="1"/>
    <col min="6137" max="6137" width="10" customWidth="1"/>
    <col min="6138" max="6138" width="12.42578125" customWidth="1"/>
    <col min="6139" max="6139" width="16.140625" customWidth="1"/>
    <col min="6140" max="6140" width="25.28515625" customWidth="1"/>
    <col min="6141" max="6142" width="13.7109375" customWidth="1"/>
    <col min="6143" max="6143" width="12.140625" customWidth="1"/>
    <col min="6144" max="6144" width="9.7109375" customWidth="1"/>
    <col min="6145" max="6147" width="12.140625" customWidth="1"/>
    <col min="6148" max="6148" width="0" hidden="1" customWidth="1"/>
    <col min="6149" max="6154" width="12.140625" customWidth="1"/>
    <col min="6391" max="6391" width="18.140625" customWidth="1"/>
    <col min="6392" max="6392" width="46.140625" customWidth="1"/>
    <col min="6393" max="6393" width="10" customWidth="1"/>
    <col min="6394" max="6394" width="12.42578125" customWidth="1"/>
    <col min="6395" max="6395" width="16.140625" customWidth="1"/>
    <col min="6396" max="6396" width="25.28515625" customWidth="1"/>
    <col min="6397" max="6398" width="13.7109375" customWidth="1"/>
    <col min="6399" max="6399" width="12.140625" customWidth="1"/>
    <col min="6400" max="6400" width="9.7109375" customWidth="1"/>
    <col min="6401" max="6403" width="12.140625" customWidth="1"/>
    <col min="6404" max="6404" width="0" hidden="1" customWidth="1"/>
    <col min="6405" max="6410" width="12.140625" customWidth="1"/>
    <col min="6647" max="6647" width="18.140625" customWidth="1"/>
    <col min="6648" max="6648" width="46.140625" customWidth="1"/>
    <col min="6649" max="6649" width="10" customWidth="1"/>
    <col min="6650" max="6650" width="12.42578125" customWidth="1"/>
    <col min="6651" max="6651" width="16.140625" customWidth="1"/>
    <col min="6652" max="6652" width="25.28515625" customWidth="1"/>
    <col min="6653" max="6654" width="13.7109375" customWidth="1"/>
    <col min="6655" max="6655" width="12.140625" customWidth="1"/>
    <col min="6656" max="6656" width="9.7109375" customWidth="1"/>
    <col min="6657" max="6659" width="12.140625" customWidth="1"/>
    <col min="6660" max="6660" width="0" hidden="1" customWidth="1"/>
    <col min="6661" max="6666" width="12.140625" customWidth="1"/>
    <col min="6903" max="6903" width="18.140625" customWidth="1"/>
    <col min="6904" max="6904" width="46.140625" customWidth="1"/>
    <col min="6905" max="6905" width="10" customWidth="1"/>
    <col min="6906" max="6906" width="12.42578125" customWidth="1"/>
    <col min="6907" max="6907" width="16.140625" customWidth="1"/>
    <col min="6908" max="6908" width="25.28515625" customWidth="1"/>
    <col min="6909" max="6910" width="13.7109375" customWidth="1"/>
    <col min="6911" max="6911" width="12.140625" customWidth="1"/>
    <col min="6912" max="6912" width="9.7109375" customWidth="1"/>
    <col min="6913" max="6915" width="12.140625" customWidth="1"/>
    <col min="6916" max="6916" width="0" hidden="1" customWidth="1"/>
    <col min="6917" max="6922" width="12.140625" customWidth="1"/>
    <col min="7159" max="7159" width="18.140625" customWidth="1"/>
    <col min="7160" max="7160" width="46.140625" customWidth="1"/>
    <col min="7161" max="7161" width="10" customWidth="1"/>
    <col min="7162" max="7162" width="12.42578125" customWidth="1"/>
    <col min="7163" max="7163" width="16.140625" customWidth="1"/>
    <col min="7164" max="7164" width="25.28515625" customWidth="1"/>
    <col min="7165" max="7166" width="13.7109375" customWidth="1"/>
    <col min="7167" max="7167" width="12.140625" customWidth="1"/>
    <col min="7168" max="7168" width="9.7109375" customWidth="1"/>
    <col min="7169" max="7171" width="12.140625" customWidth="1"/>
    <col min="7172" max="7172" width="0" hidden="1" customWidth="1"/>
    <col min="7173" max="7178" width="12.140625" customWidth="1"/>
    <col min="7415" max="7415" width="18.140625" customWidth="1"/>
    <col min="7416" max="7416" width="46.140625" customWidth="1"/>
    <col min="7417" max="7417" width="10" customWidth="1"/>
    <col min="7418" max="7418" width="12.42578125" customWidth="1"/>
    <col min="7419" max="7419" width="16.140625" customWidth="1"/>
    <col min="7420" max="7420" width="25.28515625" customWidth="1"/>
    <col min="7421" max="7422" width="13.7109375" customWidth="1"/>
    <col min="7423" max="7423" width="12.140625" customWidth="1"/>
    <col min="7424" max="7424" width="9.7109375" customWidth="1"/>
    <col min="7425" max="7427" width="12.140625" customWidth="1"/>
    <col min="7428" max="7428" width="0" hidden="1" customWidth="1"/>
    <col min="7429" max="7434" width="12.140625" customWidth="1"/>
    <col min="7671" max="7671" width="18.140625" customWidth="1"/>
    <col min="7672" max="7672" width="46.140625" customWidth="1"/>
    <col min="7673" max="7673" width="10" customWidth="1"/>
    <col min="7674" max="7674" width="12.42578125" customWidth="1"/>
    <col min="7675" max="7675" width="16.140625" customWidth="1"/>
    <col min="7676" max="7676" width="25.28515625" customWidth="1"/>
    <col min="7677" max="7678" width="13.7109375" customWidth="1"/>
    <col min="7679" max="7679" width="12.140625" customWidth="1"/>
    <col min="7680" max="7680" width="9.7109375" customWidth="1"/>
    <col min="7681" max="7683" width="12.140625" customWidth="1"/>
    <col min="7684" max="7684" width="0" hidden="1" customWidth="1"/>
    <col min="7685" max="7690" width="12.140625" customWidth="1"/>
    <col min="7927" max="7927" width="18.140625" customWidth="1"/>
    <col min="7928" max="7928" width="46.140625" customWidth="1"/>
    <col min="7929" max="7929" width="10" customWidth="1"/>
    <col min="7930" max="7930" width="12.42578125" customWidth="1"/>
    <col min="7931" max="7931" width="16.140625" customWidth="1"/>
    <col min="7932" max="7932" width="25.28515625" customWidth="1"/>
    <col min="7933" max="7934" width="13.7109375" customWidth="1"/>
    <col min="7935" max="7935" width="12.140625" customWidth="1"/>
    <col min="7936" max="7936" width="9.7109375" customWidth="1"/>
    <col min="7937" max="7939" width="12.140625" customWidth="1"/>
    <col min="7940" max="7940" width="0" hidden="1" customWidth="1"/>
    <col min="7941" max="7946" width="12.140625" customWidth="1"/>
    <col min="8183" max="8183" width="18.140625" customWidth="1"/>
    <col min="8184" max="8184" width="46.140625" customWidth="1"/>
    <col min="8185" max="8185" width="10" customWidth="1"/>
    <col min="8186" max="8186" width="12.42578125" customWidth="1"/>
    <col min="8187" max="8187" width="16.140625" customWidth="1"/>
    <col min="8188" max="8188" width="25.28515625" customWidth="1"/>
    <col min="8189" max="8190" width="13.7109375" customWidth="1"/>
    <col min="8191" max="8191" width="12.140625" customWidth="1"/>
    <col min="8192" max="8192" width="9.7109375" customWidth="1"/>
    <col min="8193" max="8195" width="12.140625" customWidth="1"/>
    <col min="8196" max="8196" width="0" hidden="1" customWidth="1"/>
    <col min="8197" max="8202" width="12.140625" customWidth="1"/>
    <col min="8439" max="8439" width="18.140625" customWidth="1"/>
    <col min="8440" max="8440" width="46.140625" customWidth="1"/>
    <col min="8441" max="8441" width="10" customWidth="1"/>
    <col min="8442" max="8442" width="12.42578125" customWidth="1"/>
    <col min="8443" max="8443" width="16.140625" customWidth="1"/>
    <col min="8444" max="8444" width="25.28515625" customWidth="1"/>
    <col min="8445" max="8446" width="13.7109375" customWidth="1"/>
    <col min="8447" max="8447" width="12.140625" customWidth="1"/>
    <col min="8448" max="8448" width="9.7109375" customWidth="1"/>
    <col min="8449" max="8451" width="12.140625" customWidth="1"/>
    <col min="8452" max="8452" width="0" hidden="1" customWidth="1"/>
    <col min="8453" max="8458" width="12.140625" customWidth="1"/>
    <col min="8695" max="8695" width="18.140625" customWidth="1"/>
    <col min="8696" max="8696" width="46.140625" customWidth="1"/>
    <col min="8697" max="8697" width="10" customWidth="1"/>
    <col min="8698" max="8698" width="12.42578125" customWidth="1"/>
    <col min="8699" max="8699" width="16.140625" customWidth="1"/>
    <col min="8700" max="8700" width="25.28515625" customWidth="1"/>
    <col min="8701" max="8702" width="13.7109375" customWidth="1"/>
    <col min="8703" max="8703" width="12.140625" customWidth="1"/>
    <col min="8704" max="8704" width="9.7109375" customWidth="1"/>
    <col min="8705" max="8707" width="12.140625" customWidth="1"/>
    <col min="8708" max="8708" width="0" hidden="1" customWidth="1"/>
    <col min="8709" max="8714" width="12.140625" customWidth="1"/>
    <col min="8951" max="8951" width="18.140625" customWidth="1"/>
    <col min="8952" max="8952" width="46.140625" customWidth="1"/>
    <col min="8953" max="8953" width="10" customWidth="1"/>
    <col min="8954" max="8954" width="12.42578125" customWidth="1"/>
    <col min="8955" max="8955" width="16.140625" customWidth="1"/>
    <col min="8956" max="8956" width="25.28515625" customWidth="1"/>
    <col min="8957" max="8958" width="13.7109375" customWidth="1"/>
    <col min="8959" max="8959" width="12.140625" customWidth="1"/>
    <col min="8960" max="8960" width="9.7109375" customWidth="1"/>
    <col min="8961" max="8963" width="12.140625" customWidth="1"/>
    <col min="8964" max="8964" width="0" hidden="1" customWidth="1"/>
    <col min="8965" max="8970" width="12.140625" customWidth="1"/>
    <col min="9207" max="9207" width="18.140625" customWidth="1"/>
    <col min="9208" max="9208" width="46.140625" customWidth="1"/>
    <col min="9209" max="9209" width="10" customWidth="1"/>
    <col min="9210" max="9210" width="12.42578125" customWidth="1"/>
    <col min="9211" max="9211" width="16.140625" customWidth="1"/>
    <col min="9212" max="9212" width="25.28515625" customWidth="1"/>
    <col min="9213" max="9214" width="13.7109375" customWidth="1"/>
    <col min="9215" max="9215" width="12.140625" customWidth="1"/>
    <col min="9216" max="9216" width="9.7109375" customWidth="1"/>
    <col min="9217" max="9219" width="12.140625" customWidth="1"/>
    <col min="9220" max="9220" width="0" hidden="1" customWidth="1"/>
    <col min="9221" max="9226" width="12.140625" customWidth="1"/>
    <col min="9463" max="9463" width="18.140625" customWidth="1"/>
    <col min="9464" max="9464" width="46.140625" customWidth="1"/>
    <col min="9465" max="9465" width="10" customWidth="1"/>
    <col min="9466" max="9466" width="12.42578125" customWidth="1"/>
    <col min="9467" max="9467" width="16.140625" customWidth="1"/>
    <col min="9468" max="9468" width="25.28515625" customWidth="1"/>
    <col min="9469" max="9470" width="13.7109375" customWidth="1"/>
    <col min="9471" max="9471" width="12.140625" customWidth="1"/>
    <col min="9472" max="9472" width="9.7109375" customWidth="1"/>
    <col min="9473" max="9475" width="12.140625" customWidth="1"/>
    <col min="9476" max="9476" width="0" hidden="1" customWidth="1"/>
    <col min="9477" max="9482" width="12.140625" customWidth="1"/>
    <col min="9719" max="9719" width="18.140625" customWidth="1"/>
    <col min="9720" max="9720" width="46.140625" customWidth="1"/>
    <col min="9721" max="9721" width="10" customWidth="1"/>
    <col min="9722" max="9722" width="12.42578125" customWidth="1"/>
    <col min="9723" max="9723" width="16.140625" customWidth="1"/>
    <col min="9724" max="9724" width="25.28515625" customWidth="1"/>
    <col min="9725" max="9726" width="13.7109375" customWidth="1"/>
    <col min="9727" max="9727" width="12.140625" customWidth="1"/>
    <col min="9728" max="9728" width="9.7109375" customWidth="1"/>
    <col min="9729" max="9731" width="12.140625" customWidth="1"/>
    <col min="9732" max="9732" width="0" hidden="1" customWidth="1"/>
    <col min="9733" max="9738" width="12.140625" customWidth="1"/>
    <col min="9975" max="9975" width="18.140625" customWidth="1"/>
    <col min="9976" max="9976" width="46.140625" customWidth="1"/>
    <col min="9977" max="9977" width="10" customWidth="1"/>
    <col min="9978" max="9978" width="12.42578125" customWidth="1"/>
    <col min="9979" max="9979" width="16.140625" customWidth="1"/>
    <col min="9980" max="9980" width="25.28515625" customWidth="1"/>
    <col min="9981" max="9982" width="13.7109375" customWidth="1"/>
    <col min="9983" max="9983" width="12.140625" customWidth="1"/>
    <col min="9984" max="9984" width="9.7109375" customWidth="1"/>
    <col min="9985" max="9987" width="12.140625" customWidth="1"/>
    <col min="9988" max="9988" width="0" hidden="1" customWidth="1"/>
    <col min="9989" max="9994" width="12.140625" customWidth="1"/>
    <col min="10231" max="10231" width="18.140625" customWidth="1"/>
    <col min="10232" max="10232" width="46.140625" customWidth="1"/>
    <col min="10233" max="10233" width="10" customWidth="1"/>
    <col min="10234" max="10234" width="12.42578125" customWidth="1"/>
    <col min="10235" max="10235" width="16.140625" customWidth="1"/>
    <col min="10236" max="10236" width="25.28515625" customWidth="1"/>
    <col min="10237" max="10238" width="13.7109375" customWidth="1"/>
    <col min="10239" max="10239" width="12.140625" customWidth="1"/>
    <col min="10240" max="10240" width="9.7109375" customWidth="1"/>
    <col min="10241" max="10243" width="12.140625" customWidth="1"/>
    <col min="10244" max="10244" width="0" hidden="1" customWidth="1"/>
    <col min="10245" max="10250" width="12.140625" customWidth="1"/>
    <col min="10487" max="10487" width="18.140625" customWidth="1"/>
    <col min="10488" max="10488" width="46.140625" customWidth="1"/>
    <col min="10489" max="10489" width="10" customWidth="1"/>
    <col min="10490" max="10490" width="12.42578125" customWidth="1"/>
    <col min="10491" max="10491" width="16.140625" customWidth="1"/>
    <col min="10492" max="10492" width="25.28515625" customWidth="1"/>
    <col min="10493" max="10494" width="13.7109375" customWidth="1"/>
    <col min="10495" max="10495" width="12.140625" customWidth="1"/>
    <col min="10496" max="10496" width="9.7109375" customWidth="1"/>
    <col min="10497" max="10499" width="12.140625" customWidth="1"/>
    <col min="10500" max="10500" width="0" hidden="1" customWidth="1"/>
    <col min="10501" max="10506" width="12.140625" customWidth="1"/>
    <col min="10743" max="10743" width="18.140625" customWidth="1"/>
    <col min="10744" max="10744" width="46.140625" customWidth="1"/>
    <col min="10745" max="10745" width="10" customWidth="1"/>
    <col min="10746" max="10746" width="12.42578125" customWidth="1"/>
    <col min="10747" max="10747" width="16.140625" customWidth="1"/>
    <col min="10748" max="10748" width="25.28515625" customWidth="1"/>
    <col min="10749" max="10750" width="13.7109375" customWidth="1"/>
    <col min="10751" max="10751" width="12.140625" customWidth="1"/>
    <col min="10752" max="10752" width="9.7109375" customWidth="1"/>
    <col min="10753" max="10755" width="12.140625" customWidth="1"/>
    <col min="10756" max="10756" width="0" hidden="1" customWidth="1"/>
    <col min="10757" max="10762" width="12.140625" customWidth="1"/>
    <col min="10999" max="10999" width="18.140625" customWidth="1"/>
    <col min="11000" max="11000" width="46.140625" customWidth="1"/>
    <col min="11001" max="11001" width="10" customWidth="1"/>
    <col min="11002" max="11002" width="12.42578125" customWidth="1"/>
    <col min="11003" max="11003" width="16.140625" customWidth="1"/>
    <col min="11004" max="11004" width="25.28515625" customWidth="1"/>
    <col min="11005" max="11006" width="13.7109375" customWidth="1"/>
    <col min="11007" max="11007" width="12.140625" customWidth="1"/>
    <col min="11008" max="11008" width="9.7109375" customWidth="1"/>
    <col min="11009" max="11011" width="12.140625" customWidth="1"/>
    <col min="11012" max="11012" width="0" hidden="1" customWidth="1"/>
    <col min="11013" max="11018" width="12.140625" customWidth="1"/>
    <col min="11255" max="11255" width="18.140625" customWidth="1"/>
    <col min="11256" max="11256" width="46.140625" customWidth="1"/>
    <col min="11257" max="11257" width="10" customWidth="1"/>
    <col min="11258" max="11258" width="12.42578125" customWidth="1"/>
    <col min="11259" max="11259" width="16.140625" customWidth="1"/>
    <col min="11260" max="11260" width="25.28515625" customWidth="1"/>
    <col min="11261" max="11262" width="13.7109375" customWidth="1"/>
    <col min="11263" max="11263" width="12.140625" customWidth="1"/>
    <col min="11264" max="11264" width="9.7109375" customWidth="1"/>
    <col min="11265" max="11267" width="12.140625" customWidth="1"/>
    <col min="11268" max="11268" width="0" hidden="1" customWidth="1"/>
    <col min="11269" max="11274" width="12.140625" customWidth="1"/>
    <col min="11511" max="11511" width="18.140625" customWidth="1"/>
    <col min="11512" max="11512" width="46.140625" customWidth="1"/>
    <col min="11513" max="11513" width="10" customWidth="1"/>
    <col min="11514" max="11514" width="12.42578125" customWidth="1"/>
    <col min="11515" max="11515" width="16.140625" customWidth="1"/>
    <col min="11516" max="11516" width="25.28515625" customWidth="1"/>
    <col min="11517" max="11518" width="13.7109375" customWidth="1"/>
    <col min="11519" max="11519" width="12.140625" customWidth="1"/>
    <col min="11520" max="11520" width="9.7109375" customWidth="1"/>
    <col min="11521" max="11523" width="12.140625" customWidth="1"/>
    <col min="11524" max="11524" width="0" hidden="1" customWidth="1"/>
    <col min="11525" max="11530" width="12.140625" customWidth="1"/>
    <col min="11767" max="11767" width="18.140625" customWidth="1"/>
    <col min="11768" max="11768" width="46.140625" customWidth="1"/>
    <col min="11769" max="11769" width="10" customWidth="1"/>
    <col min="11770" max="11770" width="12.42578125" customWidth="1"/>
    <col min="11771" max="11771" width="16.140625" customWidth="1"/>
    <col min="11772" max="11772" width="25.28515625" customWidth="1"/>
    <col min="11773" max="11774" width="13.7109375" customWidth="1"/>
    <col min="11775" max="11775" width="12.140625" customWidth="1"/>
    <col min="11776" max="11776" width="9.7109375" customWidth="1"/>
    <col min="11777" max="11779" width="12.140625" customWidth="1"/>
    <col min="11780" max="11780" width="0" hidden="1" customWidth="1"/>
    <col min="11781" max="11786" width="12.140625" customWidth="1"/>
    <col min="12023" max="12023" width="18.140625" customWidth="1"/>
    <col min="12024" max="12024" width="46.140625" customWidth="1"/>
    <col min="12025" max="12025" width="10" customWidth="1"/>
    <col min="12026" max="12026" width="12.42578125" customWidth="1"/>
    <col min="12027" max="12027" width="16.140625" customWidth="1"/>
    <col min="12028" max="12028" width="25.28515625" customWidth="1"/>
    <col min="12029" max="12030" width="13.7109375" customWidth="1"/>
    <col min="12031" max="12031" width="12.140625" customWidth="1"/>
    <col min="12032" max="12032" width="9.7109375" customWidth="1"/>
    <col min="12033" max="12035" width="12.140625" customWidth="1"/>
    <col min="12036" max="12036" width="0" hidden="1" customWidth="1"/>
    <col min="12037" max="12042" width="12.140625" customWidth="1"/>
    <col min="12279" max="12279" width="18.140625" customWidth="1"/>
    <col min="12280" max="12280" width="46.140625" customWidth="1"/>
    <col min="12281" max="12281" width="10" customWidth="1"/>
    <col min="12282" max="12282" width="12.42578125" customWidth="1"/>
    <col min="12283" max="12283" width="16.140625" customWidth="1"/>
    <col min="12284" max="12284" width="25.28515625" customWidth="1"/>
    <col min="12285" max="12286" width="13.7109375" customWidth="1"/>
    <col min="12287" max="12287" width="12.140625" customWidth="1"/>
    <col min="12288" max="12288" width="9.7109375" customWidth="1"/>
    <col min="12289" max="12291" width="12.140625" customWidth="1"/>
    <col min="12292" max="12292" width="0" hidden="1" customWidth="1"/>
    <col min="12293" max="12298" width="12.140625" customWidth="1"/>
    <col min="12535" max="12535" width="18.140625" customWidth="1"/>
    <col min="12536" max="12536" width="46.140625" customWidth="1"/>
    <col min="12537" max="12537" width="10" customWidth="1"/>
    <col min="12538" max="12538" width="12.42578125" customWidth="1"/>
    <col min="12539" max="12539" width="16.140625" customWidth="1"/>
    <col min="12540" max="12540" width="25.28515625" customWidth="1"/>
    <col min="12541" max="12542" width="13.7109375" customWidth="1"/>
    <col min="12543" max="12543" width="12.140625" customWidth="1"/>
    <col min="12544" max="12544" width="9.7109375" customWidth="1"/>
    <col min="12545" max="12547" width="12.140625" customWidth="1"/>
    <col min="12548" max="12548" width="0" hidden="1" customWidth="1"/>
    <col min="12549" max="12554" width="12.140625" customWidth="1"/>
    <col min="12791" max="12791" width="18.140625" customWidth="1"/>
    <col min="12792" max="12792" width="46.140625" customWidth="1"/>
    <col min="12793" max="12793" width="10" customWidth="1"/>
    <col min="12794" max="12794" width="12.42578125" customWidth="1"/>
    <col min="12795" max="12795" width="16.140625" customWidth="1"/>
    <col min="12796" max="12796" width="25.28515625" customWidth="1"/>
    <col min="12797" max="12798" width="13.7109375" customWidth="1"/>
    <col min="12799" max="12799" width="12.140625" customWidth="1"/>
    <col min="12800" max="12800" width="9.7109375" customWidth="1"/>
    <col min="12801" max="12803" width="12.140625" customWidth="1"/>
    <col min="12804" max="12804" width="0" hidden="1" customWidth="1"/>
    <col min="12805" max="12810" width="12.140625" customWidth="1"/>
    <col min="13047" max="13047" width="18.140625" customWidth="1"/>
    <col min="13048" max="13048" width="46.140625" customWidth="1"/>
    <col min="13049" max="13049" width="10" customWidth="1"/>
    <col min="13050" max="13050" width="12.42578125" customWidth="1"/>
    <col min="13051" max="13051" width="16.140625" customWidth="1"/>
    <col min="13052" max="13052" width="25.28515625" customWidth="1"/>
    <col min="13053" max="13054" width="13.7109375" customWidth="1"/>
    <col min="13055" max="13055" width="12.140625" customWidth="1"/>
    <col min="13056" max="13056" width="9.7109375" customWidth="1"/>
    <col min="13057" max="13059" width="12.140625" customWidth="1"/>
    <col min="13060" max="13060" width="0" hidden="1" customWidth="1"/>
    <col min="13061" max="13066" width="12.140625" customWidth="1"/>
    <col min="13303" max="13303" width="18.140625" customWidth="1"/>
    <col min="13304" max="13304" width="46.140625" customWidth="1"/>
    <col min="13305" max="13305" width="10" customWidth="1"/>
    <col min="13306" max="13306" width="12.42578125" customWidth="1"/>
    <col min="13307" max="13307" width="16.140625" customWidth="1"/>
    <col min="13308" max="13308" width="25.28515625" customWidth="1"/>
    <col min="13309" max="13310" width="13.7109375" customWidth="1"/>
    <col min="13311" max="13311" width="12.140625" customWidth="1"/>
    <col min="13312" max="13312" width="9.7109375" customWidth="1"/>
    <col min="13313" max="13315" width="12.140625" customWidth="1"/>
    <col min="13316" max="13316" width="0" hidden="1" customWidth="1"/>
    <col min="13317" max="13322" width="12.140625" customWidth="1"/>
    <col min="13559" max="13559" width="18.140625" customWidth="1"/>
    <col min="13560" max="13560" width="46.140625" customWidth="1"/>
    <col min="13561" max="13561" width="10" customWidth="1"/>
    <col min="13562" max="13562" width="12.42578125" customWidth="1"/>
    <col min="13563" max="13563" width="16.140625" customWidth="1"/>
    <col min="13564" max="13564" width="25.28515625" customWidth="1"/>
    <col min="13565" max="13566" width="13.7109375" customWidth="1"/>
    <col min="13567" max="13567" width="12.140625" customWidth="1"/>
    <col min="13568" max="13568" width="9.7109375" customWidth="1"/>
    <col min="13569" max="13571" width="12.140625" customWidth="1"/>
    <col min="13572" max="13572" width="0" hidden="1" customWidth="1"/>
    <col min="13573" max="13578" width="12.140625" customWidth="1"/>
    <col min="13815" max="13815" width="18.140625" customWidth="1"/>
    <col min="13816" max="13816" width="46.140625" customWidth="1"/>
    <col min="13817" max="13817" width="10" customWidth="1"/>
    <col min="13818" max="13818" width="12.42578125" customWidth="1"/>
    <col min="13819" max="13819" width="16.140625" customWidth="1"/>
    <col min="13820" max="13820" width="25.28515625" customWidth="1"/>
    <col min="13821" max="13822" width="13.7109375" customWidth="1"/>
    <col min="13823" max="13823" width="12.140625" customWidth="1"/>
    <col min="13824" max="13824" width="9.7109375" customWidth="1"/>
    <col min="13825" max="13827" width="12.140625" customWidth="1"/>
    <col min="13828" max="13828" width="0" hidden="1" customWidth="1"/>
    <col min="13829" max="13834" width="12.140625" customWidth="1"/>
    <col min="14071" max="14071" width="18.140625" customWidth="1"/>
    <col min="14072" max="14072" width="46.140625" customWidth="1"/>
    <col min="14073" max="14073" width="10" customWidth="1"/>
    <col min="14074" max="14074" width="12.42578125" customWidth="1"/>
    <col min="14075" max="14075" width="16.140625" customWidth="1"/>
    <col min="14076" max="14076" width="25.28515625" customWidth="1"/>
    <col min="14077" max="14078" width="13.7109375" customWidth="1"/>
    <col min="14079" max="14079" width="12.140625" customWidth="1"/>
    <col min="14080" max="14080" width="9.7109375" customWidth="1"/>
    <col min="14081" max="14083" width="12.140625" customWidth="1"/>
    <col min="14084" max="14084" width="0" hidden="1" customWidth="1"/>
    <col min="14085" max="14090" width="12.140625" customWidth="1"/>
    <col min="14327" max="14327" width="18.140625" customWidth="1"/>
    <col min="14328" max="14328" width="46.140625" customWidth="1"/>
    <col min="14329" max="14329" width="10" customWidth="1"/>
    <col min="14330" max="14330" width="12.42578125" customWidth="1"/>
    <col min="14331" max="14331" width="16.140625" customWidth="1"/>
    <col min="14332" max="14332" width="25.28515625" customWidth="1"/>
    <col min="14333" max="14334" width="13.7109375" customWidth="1"/>
    <col min="14335" max="14335" width="12.140625" customWidth="1"/>
    <col min="14336" max="14336" width="9.7109375" customWidth="1"/>
    <col min="14337" max="14339" width="12.140625" customWidth="1"/>
    <col min="14340" max="14340" width="0" hidden="1" customWidth="1"/>
    <col min="14341" max="14346" width="12.140625" customWidth="1"/>
    <col min="14583" max="14583" width="18.140625" customWidth="1"/>
    <col min="14584" max="14584" width="46.140625" customWidth="1"/>
    <col min="14585" max="14585" width="10" customWidth="1"/>
    <col min="14586" max="14586" width="12.42578125" customWidth="1"/>
    <col min="14587" max="14587" width="16.140625" customWidth="1"/>
    <col min="14588" max="14588" width="25.28515625" customWidth="1"/>
    <col min="14589" max="14590" width="13.7109375" customWidth="1"/>
    <col min="14591" max="14591" width="12.140625" customWidth="1"/>
    <col min="14592" max="14592" width="9.7109375" customWidth="1"/>
    <col min="14593" max="14595" width="12.140625" customWidth="1"/>
    <col min="14596" max="14596" width="0" hidden="1" customWidth="1"/>
    <col min="14597" max="14602" width="12.140625" customWidth="1"/>
    <col min="14839" max="14839" width="18.140625" customWidth="1"/>
    <col min="14840" max="14840" width="46.140625" customWidth="1"/>
    <col min="14841" max="14841" width="10" customWidth="1"/>
    <col min="14842" max="14842" width="12.42578125" customWidth="1"/>
    <col min="14843" max="14843" width="16.140625" customWidth="1"/>
    <col min="14844" max="14844" width="25.28515625" customWidth="1"/>
    <col min="14845" max="14846" width="13.7109375" customWidth="1"/>
    <col min="14847" max="14847" width="12.140625" customWidth="1"/>
    <col min="14848" max="14848" width="9.7109375" customWidth="1"/>
    <col min="14849" max="14851" width="12.140625" customWidth="1"/>
    <col min="14852" max="14852" width="0" hidden="1" customWidth="1"/>
    <col min="14853" max="14858" width="12.140625" customWidth="1"/>
    <col min="15095" max="15095" width="18.140625" customWidth="1"/>
    <col min="15096" max="15096" width="46.140625" customWidth="1"/>
    <col min="15097" max="15097" width="10" customWidth="1"/>
    <col min="15098" max="15098" width="12.42578125" customWidth="1"/>
    <col min="15099" max="15099" width="16.140625" customWidth="1"/>
    <col min="15100" max="15100" width="25.28515625" customWidth="1"/>
    <col min="15101" max="15102" width="13.7109375" customWidth="1"/>
    <col min="15103" max="15103" width="12.140625" customWidth="1"/>
    <col min="15104" max="15104" width="9.7109375" customWidth="1"/>
    <col min="15105" max="15107" width="12.140625" customWidth="1"/>
    <col min="15108" max="15108" width="0" hidden="1" customWidth="1"/>
    <col min="15109" max="15114" width="12.140625" customWidth="1"/>
    <col min="15351" max="15351" width="18.140625" customWidth="1"/>
    <col min="15352" max="15352" width="46.140625" customWidth="1"/>
    <col min="15353" max="15353" width="10" customWidth="1"/>
    <col min="15354" max="15354" width="12.42578125" customWidth="1"/>
    <col min="15355" max="15355" width="16.140625" customWidth="1"/>
    <col min="15356" max="15356" width="25.28515625" customWidth="1"/>
    <col min="15357" max="15358" width="13.7109375" customWidth="1"/>
    <col min="15359" max="15359" width="12.140625" customWidth="1"/>
    <col min="15360" max="15360" width="9.7109375" customWidth="1"/>
    <col min="15361" max="15363" width="12.140625" customWidth="1"/>
    <col min="15364" max="15364" width="0" hidden="1" customWidth="1"/>
    <col min="15365" max="15370" width="12.140625" customWidth="1"/>
    <col min="15607" max="15607" width="18.140625" customWidth="1"/>
    <col min="15608" max="15608" width="46.140625" customWidth="1"/>
    <col min="15609" max="15609" width="10" customWidth="1"/>
    <col min="15610" max="15610" width="12.42578125" customWidth="1"/>
    <col min="15611" max="15611" width="16.140625" customWidth="1"/>
    <col min="15612" max="15612" width="25.28515625" customWidth="1"/>
    <col min="15613" max="15614" width="13.7109375" customWidth="1"/>
    <col min="15615" max="15615" width="12.140625" customWidth="1"/>
    <col min="15616" max="15616" width="9.7109375" customWidth="1"/>
    <col min="15617" max="15619" width="12.140625" customWidth="1"/>
    <col min="15620" max="15620" width="0" hidden="1" customWidth="1"/>
    <col min="15621" max="15626" width="12.140625" customWidth="1"/>
    <col min="15863" max="15863" width="18.140625" customWidth="1"/>
    <col min="15864" max="15864" width="46.140625" customWidth="1"/>
    <col min="15865" max="15865" width="10" customWidth="1"/>
    <col min="15866" max="15866" width="12.42578125" customWidth="1"/>
    <col min="15867" max="15867" width="16.140625" customWidth="1"/>
    <col min="15868" max="15868" width="25.28515625" customWidth="1"/>
    <col min="15869" max="15870" width="13.7109375" customWidth="1"/>
    <col min="15871" max="15871" width="12.140625" customWidth="1"/>
    <col min="15872" max="15872" width="9.7109375" customWidth="1"/>
    <col min="15873" max="15875" width="12.140625" customWidth="1"/>
    <col min="15876" max="15876" width="0" hidden="1" customWidth="1"/>
    <col min="15877" max="15882" width="12.140625" customWidth="1"/>
    <col min="16119" max="16119" width="18.140625" customWidth="1"/>
    <col min="16120" max="16120" width="46.140625" customWidth="1"/>
    <col min="16121" max="16121" width="10" customWidth="1"/>
    <col min="16122" max="16122" width="12.42578125" customWidth="1"/>
    <col min="16123" max="16123" width="16.140625" customWidth="1"/>
    <col min="16124" max="16124" width="25.28515625" customWidth="1"/>
    <col min="16125" max="16126" width="13.7109375" customWidth="1"/>
    <col min="16127" max="16127" width="12.140625" customWidth="1"/>
    <col min="16128" max="16128" width="9.7109375" customWidth="1"/>
    <col min="16129" max="16131" width="12.140625" customWidth="1"/>
    <col min="16132" max="16132" width="0" hidden="1" customWidth="1"/>
    <col min="16133" max="16138" width="12.140625" customWidth="1"/>
  </cols>
  <sheetData>
    <row r="1" spans="1:11" ht="15" customHeight="1">
      <c r="A1" s="552"/>
      <c r="B1" s="597" t="s">
        <v>246</v>
      </c>
      <c r="C1" s="598"/>
      <c r="D1" s="598"/>
      <c r="E1" s="598"/>
      <c r="F1" s="598"/>
      <c r="G1" s="598"/>
      <c r="H1" s="598"/>
      <c r="I1" s="598"/>
      <c r="J1" s="598"/>
      <c r="K1" s="599"/>
    </row>
    <row r="2" spans="1:11" ht="15" customHeight="1">
      <c r="A2" s="552"/>
      <c r="B2" s="600"/>
      <c r="C2" s="601"/>
      <c r="D2" s="601"/>
      <c r="E2" s="601"/>
      <c r="F2" s="601"/>
      <c r="G2" s="601"/>
      <c r="H2" s="601"/>
      <c r="I2" s="601"/>
      <c r="J2" s="601"/>
      <c r="K2" s="602"/>
    </row>
    <row r="3" spans="1:11" ht="15" customHeight="1">
      <c r="A3" s="552"/>
      <c r="B3" s="603"/>
      <c r="C3" s="604"/>
      <c r="D3" s="604"/>
      <c r="E3" s="604"/>
      <c r="F3" s="604"/>
      <c r="G3" s="604"/>
      <c r="H3" s="604"/>
      <c r="I3" s="604"/>
      <c r="J3" s="604"/>
      <c r="K3" s="605"/>
    </row>
    <row r="5" spans="1:11">
      <c r="B5" s="319" t="s">
        <v>247</v>
      </c>
    </row>
    <row r="7" spans="1:11">
      <c r="C7" s="470" t="s">
        <v>248</v>
      </c>
      <c r="D7" s="470" t="s">
        <v>249</v>
      </c>
      <c r="E7" s="470" t="s">
        <v>250</v>
      </c>
      <c r="F7" s="470" t="s">
        <v>251</v>
      </c>
      <c r="G7" s="470" t="s">
        <v>252</v>
      </c>
      <c r="H7" s="471" t="s">
        <v>253</v>
      </c>
      <c r="I7" s="470" t="s">
        <v>254</v>
      </c>
      <c r="J7" s="470" t="s">
        <v>255</v>
      </c>
      <c r="K7" s="470" t="s">
        <v>256</v>
      </c>
    </row>
    <row r="8" spans="1:11">
      <c r="B8" s="320" t="s">
        <v>257</v>
      </c>
      <c r="C8" s="321"/>
      <c r="D8" s="321">
        <v>206</v>
      </c>
      <c r="E8" s="321">
        <v>245</v>
      </c>
      <c r="F8" s="321">
        <v>204</v>
      </c>
      <c r="G8" s="321">
        <v>189</v>
      </c>
      <c r="H8" s="263">
        <v>276</v>
      </c>
      <c r="I8" s="322">
        <v>155</v>
      </c>
      <c r="J8" s="263">
        <v>280</v>
      </c>
      <c r="K8" s="263">
        <v>324</v>
      </c>
    </row>
    <row r="9" spans="1:11">
      <c r="B9" s="320" t="s">
        <v>258</v>
      </c>
      <c r="C9" s="321"/>
      <c r="D9" s="321">
        <v>216</v>
      </c>
      <c r="E9" s="321">
        <v>248</v>
      </c>
      <c r="F9" s="321">
        <v>205</v>
      </c>
      <c r="G9" s="321">
        <v>177</v>
      </c>
      <c r="H9" s="263">
        <v>249</v>
      </c>
      <c r="I9" s="322">
        <v>161</v>
      </c>
      <c r="J9" s="263">
        <v>235</v>
      </c>
      <c r="K9" s="263">
        <v>206</v>
      </c>
    </row>
    <row r="10" spans="1:11">
      <c r="B10" s="323" t="s">
        <v>259</v>
      </c>
      <c r="C10" s="324"/>
      <c r="D10" s="324">
        <v>214</v>
      </c>
      <c r="E10" s="324">
        <v>232</v>
      </c>
      <c r="F10" s="324">
        <v>181</v>
      </c>
      <c r="G10" s="324">
        <v>201</v>
      </c>
      <c r="H10" s="42">
        <v>268</v>
      </c>
      <c r="I10" s="263">
        <v>185</v>
      </c>
      <c r="J10" s="263">
        <v>179</v>
      </c>
      <c r="K10" s="263"/>
    </row>
    <row r="11" spans="1:11">
      <c r="B11" s="320" t="s">
        <v>260</v>
      </c>
      <c r="C11" s="321">
        <v>239</v>
      </c>
      <c r="D11" s="321">
        <v>207</v>
      </c>
      <c r="E11" s="321">
        <v>222</v>
      </c>
      <c r="F11" s="321">
        <v>190</v>
      </c>
      <c r="G11" s="321">
        <v>194</v>
      </c>
      <c r="H11" s="322">
        <v>276</v>
      </c>
      <c r="I11" s="73">
        <v>162</v>
      </c>
      <c r="J11" s="73">
        <v>158</v>
      </c>
      <c r="K11" s="73"/>
    </row>
    <row r="12" spans="1:11">
      <c r="B12" s="320" t="s">
        <v>261</v>
      </c>
      <c r="C12" s="321">
        <v>239</v>
      </c>
      <c r="D12" s="321">
        <v>234</v>
      </c>
      <c r="E12" s="321">
        <v>232</v>
      </c>
      <c r="F12" s="321">
        <v>199</v>
      </c>
      <c r="G12" s="321">
        <v>206</v>
      </c>
      <c r="H12" s="322">
        <v>260</v>
      </c>
      <c r="I12" s="263">
        <v>185</v>
      </c>
      <c r="J12" s="263">
        <v>180</v>
      </c>
      <c r="K12" s="263"/>
    </row>
    <row r="13" spans="1:11">
      <c r="B13" s="320" t="s">
        <v>262</v>
      </c>
      <c r="C13" s="321">
        <v>205</v>
      </c>
      <c r="D13" s="321">
        <v>381</v>
      </c>
      <c r="E13" s="321">
        <v>204</v>
      </c>
      <c r="F13" s="321">
        <v>203</v>
      </c>
      <c r="G13" s="263">
        <v>180</v>
      </c>
      <c r="H13" s="322">
        <v>149</v>
      </c>
      <c r="I13" s="263">
        <v>161</v>
      </c>
      <c r="J13" s="263">
        <v>193</v>
      </c>
      <c r="K13" s="263"/>
    </row>
    <row r="14" spans="1:11">
      <c r="B14" s="320" t="s">
        <v>263</v>
      </c>
      <c r="C14" s="321">
        <v>224</v>
      </c>
      <c r="D14" s="321">
        <v>59</v>
      </c>
      <c r="E14" s="321">
        <v>197</v>
      </c>
      <c r="F14" s="321">
        <v>226</v>
      </c>
      <c r="G14" s="263">
        <f>169+82</f>
        <v>251</v>
      </c>
      <c r="H14" s="322">
        <v>169</v>
      </c>
      <c r="I14" s="263">
        <v>168</v>
      </c>
      <c r="J14" s="263">
        <v>203</v>
      </c>
      <c r="K14" s="263"/>
    </row>
    <row r="15" spans="1:11">
      <c r="B15" s="320" t="s">
        <v>264</v>
      </c>
      <c r="C15" s="321">
        <v>198</v>
      </c>
      <c r="D15" s="321">
        <v>219</v>
      </c>
      <c r="E15" s="321">
        <v>166</v>
      </c>
      <c r="F15" s="321">
        <v>193</v>
      </c>
      <c r="G15" s="263">
        <v>237</v>
      </c>
      <c r="H15" s="322">
        <v>138</v>
      </c>
      <c r="I15" s="263">
        <v>146</v>
      </c>
      <c r="J15" s="263">
        <v>189</v>
      </c>
      <c r="K15" s="263"/>
    </row>
    <row r="16" spans="1:11">
      <c r="B16" s="320" t="s">
        <v>265</v>
      </c>
      <c r="C16" s="321">
        <v>215</v>
      </c>
      <c r="D16" s="321">
        <v>206</v>
      </c>
      <c r="E16" s="321">
        <v>182</v>
      </c>
      <c r="F16" s="321">
        <v>182</v>
      </c>
      <c r="G16" s="263">
        <v>246</v>
      </c>
      <c r="H16" s="322">
        <v>165</v>
      </c>
      <c r="I16" s="263">
        <v>177</v>
      </c>
      <c r="J16" s="263">
        <v>199</v>
      </c>
      <c r="K16" s="263"/>
    </row>
    <row r="17" spans="1:11">
      <c r="B17" s="320" t="s">
        <v>266</v>
      </c>
      <c r="C17" s="321">
        <v>212</v>
      </c>
      <c r="D17" s="321">
        <v>201</v>
      </c>
      <c r="E17" s="321">
        <v>205</v>
      </c>
      <c r="F17" s="321">
        <v>334</v>
      </c>
      <c r="G17" s="263">
        <v>246</v>
      </c>
      <c r="H17" s="322">
        <v>155</v>
      </c>
      <c r="I17" s="263">
        <v>162</v>
      </c>
      <c r="J17" s="263">
        <v>189</v>
      </c>
      <c r="K17" s="263"/>
    </row>
    <row r="18" spans="1:11">
      <c r="B18" s="320" t="s">
        <v>267</v>
      </c>
      <c r="C18" s="321">
        <v>213</v>
      </c>
      <c r="D18" s="321">
        <v>241</v>
      </c>
      <c r="E18" s="321">
        <v>205</v>
      </c>
      <c r="F18" s="321">
        <v>55</v>
      </c>
      <c r="G18" s="263">
        <v>246</v>
      </c>
      <c r="H18" s="322">
        <v>148</v>
      </c>
      <c r="I18" s="263">
        <v>175</v>
      </c>
      <c r="J18" s="263">
        <v>193</v>
      </c>
      <c r="K18" s="263"/>
    </row>
    <row r="19" spans="1:11" ht="15.75" thickBot="1">
      <c r="B19" s="320" t="s">
        <v>268</v>
      </c>
      <c r="C19" s="321">
        <v>208</v>
      </c>
      <c r="D19" s="321">
        <v>235</v>
      </c>
      <c r="E19" s="321">
        <v>206</v>
      </c>
      <c r="F19" s="321">
        <v>197</v>
      </c>
      <c r="G19" s="263">
        <v>264</v>
      </c>
      <c r="H19" s="322">
        <v>141</v>
      </c>
      <c r="I19" s="263">
        <v>180</v>
      </c>
      <c r="J19" s="263">
        <v>204</v>
      </c>
      <c r="K19" s="263"/>
    </row>
    <row r="20" spans="1:11">
      <c r="B20" s="325" t="s">
        <v>269</v>
      </c>
      <c r="C20" s="326">
        <f>SUM(C8:C19)</f>
        <v>1953</v>
      </c>
      <c r="D20" s="326">
        <f>SUM(D8:D19)</f>
        <v>2619</v>
      </c>
      <c r="E20" s="326">
        <f t="shared" ref="E20:K20" si="0">SUM(E8:E19)</f>
        <v>2544</v>
      </c>
      <c r="F20" s="326">
        <f t="shared" si="0"/>
        <v>2369</v>
      </c>
      <c r="G20" s="326">
        <f t="shared" si="0"/>
        <v>2637</v>
      </c>
      <c r="H20" s="326">
        <f t="shared" si="0"/>
        <v>2394</v>
      </c>
      <c r="I20" s="326">
        <f t="shared" si="0"/>
        <v>2017</v>
      </c>
      <c r="J20" s="326">
        <f>SUM(J8:J19)</f>
        <v>2402</v>
      </c>
      <c r="K20" s="327">
        <f t="shared" si="0"/>
        <v>530</v>
      </c>
    </row>
    <row r="21" spans="1:11">
      <c r="B21" s="328" t="s">
        <v>270</v>
      </c>
      <c r="C21" s="329">
        <f>+C20/9</f>
        <v>217</v>
      </c>
      <c r="D21" s="329">
        <f t="shared" ref="D21:F21" si="1">+D20/12</f>
        <v>218.25</v>
      </c>
      <c r="E21" s="329">
        <f t="shared" si="1"/>
        <v>212</v>
      </c>
      <c r="F21" s="329">
        <f t="shared" si="1"/>
        <v>197.41666666666666</v>
      </c>
      <c r="G21" s="329">
        <f>+G20/12</f>
        <v>219.75</v>
      </c>
      <c r="H21" s="330">
        <f>+H20/COUNTA(H8:H19)</f>
        <v>199.5</v>
      </c>
      <c r="I21" s="330">
        <f>+I20/COUNTA(I8:I19)</f>
        <v>168.08333333333334</v>
      </c>
      <c r="J21" s="331">
        <f>+J20/COUNTA(J8:J19)</f>
        <v>200.16666666666666</v>
      </c>
      <c r="K21" s="331">
        <f>+K20/COUNTA(K8:K19)</f>
        <v>265</v>
      </c>
    </row>
    <row r="22" spans="1:11">
      <c r="B22" s="332" t="s">
        <v>271</v>
      </c>
      <c r="C22" s="329">
        <f>20*9</f>
        <v>180</v>
      </c>
      <c r="D22" s="288">
        <v>251</v>
      </c>
      <c r="E22" s="288">
        <v>253</v>
      </c>
      <c r="F22" s="289">
        <v>254</v>
      </c>
      <c r="G22" s="329">
        <v>254</v>
      </c>
      <c r="H22" s="330">
        <v>251</v>
      </c>
      <c r="I22" s="330">
        <v>252</v>
      </c>
      <c r="J22" s="331">
        <v>254</v>
      </c>
      <c r="K22" s="331">
        <v>259</v>
      </c>
    </row>
    <row r="23" spans="1:11" ht="15.75" thickBot="1">
      <c r="B23" s="333" t="s">
        <v>272</v>
      </c>
      <c r="C23" s="334">
        <f>+C20/C22</f>
        <v>10.85</v>
      </c>
      <c r="D23" s="334">
        <f t="shared" ref="D23:J23" si="2">+D20/D22</f>
        <v>10.434262948207172</v>
      </c>
      <c r="E23" s="334">
        <f t="shared" si="2"/>
        <v>10.055335968379447</v>
      </c>
      <c r="F23" s="334">
        <f t="shared" si="2"/>
        <v>9.3267716535433074</v>
      </c>
      <c r="G23" s="334">
        <f t="shared" si="2"/>
        <v>10.381889763779528</v>
      </c>
      <c r="H23" s="335">
        <f t="shared" si="2"/>
        <v>9.5378486055776897</v>
      </c>
      <c r="I23" s="335">
        <f t="shared" si="2"/>
        <v>8.0039682539682548</v>
      </c>
      <c r="J23" s="336">
        <f t="shared" si="2"/>
        <v>9.456692913385826</v>
      </c>
      <c r="K23" s="336">
        <f>+K20/K22</f>
        <v>2.0463320463320462</v>
      </c>
    </row>
    <row r="24" spans="1:11" ht="15.75" thickBot="1">
      <c r="A24" s="337"/>
      <c r="B24" s="340" t="s">
        <v>273</v>
      </c>
      <c r="C24" s="341">
        <f>+C21/3</f>
        <v>72.333333333333329</v>
      </c>
      <c r="D24" s="342">
        <f>+D21/3</f>
        <v>72.75</v>
      </c>
      <c r="E24" s="342">
        <f>+E21/3</f>
        <v>70.666666666666671</v>
      </c>
      <c r="F24" s="342">
        <f>+F21/2</f>
        <v>98.708333333333329</v>
      </c>
      <c r="G24" s="342">
        <f>+G21/3</f>
        <v>73.25</v>
      </c>
      <c r="H24" s="343">
        <f>H21/2.5</f>
        <v>79.8</v>
      </c>
      <c r="I24" s="343">
        <f>I21/4</f>
        <v>42.020833333333336</v>
      </c>
      <c r="J24" s="344">
        <f>J21/4</f>
        <v>50.041666666666664</v>
      </c>
      <c r="K24" s="344">
        <f>K21/4</f>
        <v>66.25</v>
      </c>
    </row>
    <row r="25" spans="1:11">
      <c r="H25" s="338"/>
      <c r="I25" s="338"/>
      <c r="J25" s="338"/>
    </row>
    <row r="26" spans="1:11">
      <c r="B26" s="339" t="s">
        <v>274</v>
      </c>
      <c r="C26" s="339"/>
    </row>
  </sheetData>
  <mergeCells count="2">
    <mergeCell ref="A1:A3"/>
    <mergeCell ref="B1:K3"/>
  </mergeCells>
  <pageMargins left="0.70866141732283472" right="0.70866141732283472" top="0.74803149606299213" bottom="0.74803149606299213" header="0.31496062992125984" footer="0.31496062992125984"/>
  <pageSetup paperSize="9" scale="8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52D0-5806-4094-A088-DB2B5A059123}">
  <sheetPr>
    <tabColor rgb="FF00B050"/>
    <pageSetUpPr fitToPage="1"/>
  </sheetPr>
  <dimension ref="A1:K39"/>
  <sheetViews>
    <sheetView showGridLines="0" zoomScale="85" zoomScaleNormal="85" workbookViewId="0">
      <pane ySplit="3" topLeftCell="A4" activePane="bottomLeft" state="frozen"/>
      <selection pane="bottomLeft" activeCell="P22" sqref="P22"/>
      <selection activeCell="H34" sqref="H34"/>
    </sheetView>
  </sheetViews>
  <sheetFormatPr defaultColWidth="11.42578125" defaultRowHeight="15"/>
  <cols>
    <col min="1" max="1" width="18.140625" customWidth="1"/>
    <col min="2" max="2" width="33.7109375" customWidth="1"/>
    <col min="3" max="9" width="12" customWidth="1"/>
    <col min="246" max="246" width="18.140625" customWidth="1"/>
    <col min="247" max="247" width="46.140625" customWidth="1"/>
    <col min="248" max="248" width="10" customWidth="1"/>
    <col min="249" max="249" width="12.42578125" customWidth="1"/>
    <col min="250" max="250" width="16.140625" customWidth="1"/>
    <col min="251" max="251" width="25.28515625" customWidth="1"/>
    <col min="252" max="253" width="13.7109375" customWidth="1"/>
    <col min="254" max="254" width="12.140625" customWidth="1"/>
    <col min="255" max="255" width="9.7109375" customWidth="1"/>
    <col min="256" max="258" width="12.140625" customWidth="1"/>
    <col min="259" max="259" width="0" hidden="1" customWidth="1"/>
    <col min="260" max="265" width="12.140625" customWidth="1"/>
    <col min="502" max="502" width="18.140625" customWidth="1"/>
    <col min="503" max="503" width="46.140625" customWidth="1"/>
    <col min="504" max="504" width="10" customWidth="1"/>
    <col min="505" max="505" width="12.42578125" customWidth="1"/>
    <col min="506" max="506" width="16.140625" customWidth="1"/>
    <col min="507" max="507" width="25.28515625" customWidth="1"/>
    <col min="508" max="509" width="13.7109375" customWidth="1"/>
    <col min="510" max="510" width="12.140625" customWidth="1"/>
    <col min="511" max="511" width="9.7109375" customWidth="1"/>
    <col min="512" max="514" width="12.140625" customWidth="1"/>
    <col min="515" max="515" width="0" hidden="1" customWidth="1"/>
    <col min="516" max="521" width="12.140625" customWidth="1"/>
    <col min="758" max="758" width="18.140625" customWidth="1"/>
    <col min="759" max="759" width="46.140625" customWidth="1"/>
    <col min="760" max="760" width="10" customWidth="1"/>
    <col min="761" max="761" width="12.42578125" customWidth="1"/>
    <col min="762" max="762" width="16.140625" customWidth="1"/>
    <col min="763" max="763" width="25.28515625" customWidth="1"/>
    <col min="764" max="765" width="13.7109375" customWidth="1"/>
    <col min="766" max="766" width="12.140625" customWidth="1"/>
    <col min="767" max="767" width="9.7109375" customWidth="1"/>
    <col min="768" max="770" width="12.140625" customWidth="1"/>
    <col min="771" max="771" width="0" hidden="1" customWidth="1"/>
    <col min="772" max="777" width="12.140625" customWidth="1"/>
    <col min="1014" max="1014" width="18.140625" customWidth="1"/>
    <col min="1015" max="1015" width="46.140625" customWidth="1"/>
    <col min="1016" max="1016" width="10" customWidth="1"/>
    <col min="1017" max="1017" width="12.42578125" customWidth="1"/>
    <col min="1018" max="1018" width="16.140625" customWidth="1"/>
    <col min="1019" max="1019" width="25.28515625" customWidth="1"/>
    <col min="1020" max="1021" width="13.7109375" customWidth="1"/>
    <col min="1022" max="1022" width="12.140625" customWidth="1"/>
    <col min="1023" max="1023" width="9.7109375" customWidth="1"/>
    <col min="1024" max="1026" width="12.140625" customWidth="1"/>
    <col min="1027" max="1027" width="0" hidden="1" customWidth="1"/>
    <col min="1028" max="1033" width="12.140625" customWidth="1"/>
    <col min="1270" max="1270" width="18.140625" customWidth="1"/>
    <col min="1271" max="1271" width="46.140625" customWidth="1"/>
    <col min="1272" max="1272" width="10" customWidth="1"/>
    <col min="1273" max="1273" width="12.42578125" customWidth="1"/>
    <col min="1274" max="1274" width="16.140625" customWidth="1"/>
    <col min="1275" max="1275" width="25.28515625" customWidth="1"/>
    <col min="1276" max="1277" width="13.7109375" customWidth="1"/>
    <col min="1278" max="1278" width="12.140625" customWidth="1"/>
    <col min="1279" max="1279" width="9.7109375" customWidth="1"/>
    <col min="1280" max="1282" width="12.140625" customWidth="1"/>
    <col min="1283" max="1283" width="0" hidden="1" customWidth="1"/>
    <col min="1284" max="1289" width="12.140625" customWidth="1"/>
    <col min="1526" max="1526" width="18.140625" customWidth="1"/>
    <col min="1527" max="1527" width="46.140625" customWidth="1"/>
    <col min="1528" max="1528" width="10" customWidth="1"/>
    <col min="1529" max="1529" width="12.42578125" customWidth="1"/>
    <col min="1530" max="1530" width="16.140625" customWidth="1"/>
    <col min="1531" max="1531" width="25.28515625" customWidth="1"/>
    <col min="1532" max="1533" width="13.7109375" customWidth="1"/>
    <col min="1534" max="1534" width="12.140625" customWidth="1"/>
    <col min="1535" max="1535" width="9.7109375" customWidth="1"/>
    <col min="1536" max="1538" width="12.140625" customWidth="1"/>
    <col min="1539" max="1539" width="0" hidden="1" customWidth="1"/>
    <col min="1540" max="1545" width="12.140625" customWidth="1"/>
    <col min="1782" max="1782" width="18.140625" customWidth="1"/>
    <col min="1783" max="1783" width="46.140625" customWidth="1"/>
    <col min="1784" max="1784" width="10" customWidth="1"/>
    <col min="1785" max="1785" width="12.42578125" customWidth="1"/>
    <col min="1786" max="1786" width="16.140625" customWidth="1"/>
    <col min="1787" max="1787" width="25.28515625" customWidth="1"/>
    <col min="1788" max="1789" width="13.7109375" customWidth="1"/>
    <col min="1790" max="1790" width="12.140625" customWidth="1"/>
    <col min="1791" max="1791" width="9.7109375" customWidth="1"/>
    <col min="1792" max="1794" width="12.140625" customWidth="1"/>
    <col min="1795" max="1795" width="0" hidden="1" customWidth="1"/>
    <col min="1796" max="1801" width="12.140625" customWidth="1"/>
    <col min="2038" max="2038" width="18.140625" customWidth="1"/>
    <col min="2039" max="2039" width="46.140625" customWidth="1"/>
    <col min="2040" max="2040" width="10" customWidth="1"/>
    <col min="2041" max="2041" width="12.42578125" customWidth="1"/>
    <col min="2042" max="2042" width="16.140625" customWidth="1"/>
    <col min="2043" max="2043" width="25.28515625" customWidth="1"/>
    <col min="2044" max="2045" width="13.7109375" customWidth="1"/>
    <col min="2046" max="2046" width="12.140625" customWidth="1"/>
    <col min="2047" max="2047" width="9.7109375" customWidth="1"/>
    <col min="2048" max="2050" width="12.140625" customWidth="1"/>
    <col min="2051" max="2051" width="0" hidden="1" customWidth="1"/>
    <col min="2052" max="2057" width="12.140625" customWidth="1"/>
    <col min="2294" max="2294" width="18.140625" customWidth="1"/>
    <col min="2295" max="2295" width="46.140625" customWidth="1"/>
    <col min="2296" max="2296" width="10" customWidth="1"/>
    <col min="2297" max="2297" width="12.42578125" customWidth="1"/>
    <col min="2298" max="2298" width="16.140625" customWidth="1"/>
    <col min="2299" max="2299" width="25.28515625" customWidth="1"/>
    <col min="2300" max="2301" width="13.7109375" customWidth="1"/>
    <col min="2302" max="2302" width="12.140625" customWidth="1"/>
    <col min="2303" max="2303" width="9.7109375" customWidth="1"/>
    <col min="2304" max="2306" width="12.140625" customWidth="1"/>
    <col min="2307" max="2307" width="0" hidden="1" customWidth="1"/>
    <col min="2308" max="2313" width="12.140625" customWidth="1"/>
    <col min="2550" max="2550" width="18.140625" customWidth="1"/>
    <col min="2551" max="2551" width="46.140625" customWidth="1"/>
    <col min="2552" max="2552" width="10" customWidth="1"/>
    <col min="2553" max="2553" width="12.42578125" customWidth="1"/>
    <col min="2554" max="2554" width="16.140625" customWidth="1"/>
    <col min="2555" max="2555" width="25.28515625" customWidth="1"/>
    <col min="2556" max="2557" width="13.7109375" customWidth="1"/>
    <col min="2558" max="2558" width="12.140625" customWidth="1"/>
    <col min="2559" max="2559" width="9.7109375" customWidth="1"/>
    <col min="2560" max="2562" width="12.140625" customWidth="1"/>
    <col min="2563" max="2563" width="0" hidden="1" customWidth="1"/>
    <col min="2564" max="2569" width="12.140625" customWidth="1"/>
    <col min="2806" max="2806" width="18.140625" customWidth="1"/>
    <col min="2807" max="2807" width="46.140625" customWidth="1"/>
    <col min="2808" max="2808" width="10" customWidth="1"/>
    <col min="2809" max="2809" width="12.42578125" customWidth="1"/>
    <col min="2810" max="2810" width="16.140625" customWidth="1"/>
    <col min="2811" max="2811" width="25.28515625" customWidth="1"/>
    <col min="2812" max="2813" width="13.7109375" customWidth="1"/>
    <col min="2814" max="2814" width="12.140625" customWidth="1"/>
    <col min="2815" max="2815" width="9.7109375" customWidth="1"/>
    <col min="2816" max="2818" width="12.140625" customWidth="1"/>
    <col min="2819" max="2819" width="0" hidden="1" customWidth="1"/>
    <col min="2820" max="2825" width="12.140625" customWidth="1"/>
    <col min="3062" max="3062" width="18.140625" customWidth="1"/>
    <col min="3063" max="3063" width="46.140625" customWidth="1"/>
    <col min="3064" max="3064" width="10" customWidth="1"/>
    <col min="3065" max="3065" width="12.42578125" customWidth="1"/>
    <col min="3066" max="3066" width="16.140625" customWidth="1"/>
    <col min="3067" max="3067" width="25.28515625" customWidth="1"/>
    <col min="3068" max="3069" width="13.7109375" customWidth="1"/>
    <col min="3070" max="3070" width="12.140625" customWidth="1"/>
    <col min="3071" max="3071" width="9.7109375" customWidth="1"/>
    <col min="3072" max="3074" width="12.140625" customWidth="1"/>
    <col min="3075" max="3075" width="0" hidden="1" customWidth="1"/>
    <col min="3076" max="3081" width="12.140625" customWidth="1"/>
    <col min="3318" max="3318" width="18.140625" customWidth="1"/>
    <col min="3319" max="3319" width="46.140625" customWidth="1"/>
    <col min="3320" max="3320" width="10" customWidth="1"/>
    <col min="3321" max="3321" width="12.42578125" customWidth="1"/>
    <col min="3322" max="3322" width="16.140625" customWidth="1"/>
    <col min="3323" max="3323" width="25.28515625" customWidth="1"/>
    <col min="3324" max="3325" width="13.7109375" customWidth="1"/>
    <col min="3326" max="3326" width="12.140625" customWidth="1"/>
    <col min="3327" max="3327" width="9.7109375" customWidth="1"/>
    <col min="3328" max="3330" width="12.140625" customWidth="1"/>
    <col min="3331" max="3331" width="0" hidden="1" customWidth="1"/>
    <col min="3332" max="3337" width="12.140625" customWidth="1"/>
    <col min="3574" max="3574" width="18.140625" customWidth="1"/>
    <col min="3575" max="3575" width="46.140625" customWidth="1"/>
    <col min="3576" max="3576" width="10" customWidth="1"/>
    <col min="3577" max="3577" width="12.42578125" customWidth="1"/>
    <col min="3578" max="3578" width="16.140625" customWidth="1"/>
    <col min="3579" max="3579" width="25.28515625" customWidth="1"/>
    <col min="3580" max="3581" width="13.7109375" customWidth="1"/>
    <col min="3582" max="3582" width="12.140625" customWidth="1"/>
    <col min="3583" max="3583" width="9.7109375" customWidth="1"/>
    <col min="3584" max="3586" width="12.140625" customWidth="1"/>
    <col min="3587" max="3587" width="0" hidden="1" customWidth="1"/>
    <col min="3588" max="3593" width="12.140625" customWidth="1"/>
    <col min="3830" max="3830" width="18.140625" customWidth="1"/>
    <col min="3831" max="3831" width="46.140625" customWidth="1"/>
    <col min="3832" max="3832" width="10" customWidth="1"/>
    <col min="3833" max="3833" width="12.42578125" customWidth="1"/>
    <col min="3834" max="3834" width="16.140625" customWidth="1"/>
    <col min="3835" max="3835" width="25.28515625" customWidth="1"/>
    <col min="3836" max="3837" width="13.7109375" customWidth="1"/>
    <col min="3838" max="3838" width="12.140625" customWidth="1"/>
    <col min="3839" max="3839" width="9.7109375" customWidth="1"/>
    <col min="3840" max="3842" width="12.140625" customWidth="1"/>
    <col min="3843" max="3843" width="0" hidden="1" customWidth="1"/>
    <col min="3844" max="3849" width="12.140625" customWidth="1"/>
    <col min="4086" max="4086" width="18.140625" customWidth="1"/>
    <col min="4087" max="4087" width="46.140625" customWidth="1"/>
    <col min="4088" max="4088" width="10" customWidth="1"/>
    <col min="4089" max="4089" width="12.42578125" customWidth="1"/>
    <col min="4090" max="4090" width="16.140625" customWidth="1"/>
    <col min="4091" max="4091" width="25.28515625" customWidth="1"/>
    <col min="4092" max="4093" width="13.7109375" customWidth="1"/>
    <col min="4094" max="4094" width="12.140625" customWidth="1"/>
    <col min="4095" max="4095" width="9.7109375" customWidth="1"/>
    <col min="4096" max="4098" width="12.140625" customWidth="1"/>
    <col min="4099" max="4099" width="0" hidden="1" customWidth="1"/>
    <col min="4100" max="4105" width="12.140625" customWidth="1"/>
    <col min="4342" max="4342" width="18.140625" customWidth="1"/>
    <col min="4343" max="4343" width="46.140625" customWidth="1"/>
    <col min="4344" max="4344" width="10" customWidth="1"/>
    <col min="4345" max="4345" width="12.42578125" customWidth="1"/>
    <col min="4346" max="4346" width="16.140625" customWidth="1"/>
    <col min="4347" max="4347" width="25.28515625" customWidth="1"/>
    <col min="4348" max="4349" width="13.7109375" customWidth="1"/>
    <col min="4350" max="4350" width="12.140625" customWidth="1"/>
    <col min="4351" max="4351" width="9.7109375" customWidth="1"/>
    <col min="4352" max="4354" width="12.140625" customWidth="1"/>
    <col min="4355" max="4355" width="0" hidden="1" customWidth="1"/>
    <col min="4356" max="4361" width="12.140625" customWidth="1"/>
    <col min="4598" max="4598" width="18.140625" customWidth="1"/>
    <col min="4599" max="4599" width="46.140625" customWidth="1"/>
    <col min="4600" max="4600" width="10" customWidth="1"/>
    <col min="4601" max="4601" width="12.42578125" customWidth="1"/>
    <col min="4602" max="4602" width="16.140625" customWidth="1"/>
    <col min="4603" max="4603" width="25.28515625" customWidth="1"/>
    <col min="4604" max="4605" width="13.7109375" customWidth="1"/>
    <col min="4606" max="4606" width="12.140625" customWidth="1"/>
    <col min="4607" max="4607" width="9.7109375" customWidth="1"/>
    <col min="4608" max="4610" width="12.140625" customWidth="1"/>
    <col min="4611" max="4611" width="0" hidden="1" customWidth="1"/>
    <col min="4612" max="4617" width="12.140625" customWidth="1"/>
    <col min="4854" max="4854" width="18.140625" customWidth="1"/>
    <col min="4855" max="4855" width="46.140625" customWidth="1"/>
    <col min="4856" max="4856" width="10" customWidth="1"/>
    <col min="4857" max="4857" width="12.42578125" customWidth="1"/>
    <col min="4858" max="4858" width="16.140625" customWidth="1"/>
    <col min="4859" max="4859" width="25.28515625" customWidth="1"/>
    <col min="4860" max="4861" width="13.7109375" customWidth="1"/>
    <col min="4862" max="4862" width="12.140625" customWidth="1"/>
    <col min="4863" max="4863" width="9.7109375" customWidth="1"/>
    <col min="4864" max="4866" width="12.140625" customWidth="1"/>
    <col min="4867" max="4867" width="0" hidden="1" customWidth="1"/>
    <col min="4868" max="4873" width="12.140625" customWidth="1"/>
    <col min="5110" max="5110" width="18.140625" customWidth="1"/>
    <col min="5111" max="5111" width="46.140625" customWidth="1"/>
    <col min="5112" max="5112" width="10" customWidth="1"/>
    <col min="5113" max="5113" width="12.42578125" customWidth="1"/>
    <col min="5114" max="5114" width="16.140625" customWidth="1"/>
    <col min="5115" max="5115" width="25.28515625" customWidth="1"/>
    <col min="5116" max="5117" width="13.7109375" customWidth="1"/>
    <col min="5118" max="5118" width="12.140625" customWidth="1"/>
    <col min="5119" max="5119" width="9.7109375" customWidth="1"/>
    <col min="5120" max="5122" width="12.140625" customWidth="1"/>
    <col min="5123" max="5123" width="0" hidden="1" customWidth="1"/>
    <col min="5124" max="5129" width="12.140625" customWidth="1"/>
    <col min="5366" max="5366" width="18.140625" customWidth="1"/>
    <col min="5367" max="5367" width="46.140625" customWidth="1"/>
    <col min="5368" max="5368" width="10" customWidth="1"/>
    <col min="5369" max="5369" width="12.42578125" customWidth="1"/>
    <col min="5370" max="5370" width="16.140625" customWidth="1"/>
    <col min="5371" max="5371" width="25.28515625" customWidth="1"/>
    <col min="5372" max="5373" width="13.7109375" customWidth="1"/>
    <col min="5374" max="5374" width="12.140625" customWidth="1"/>
    <col min="5375" max="5375" width="9.7109375" customWidth="1"/>
    <col min="5376" max="5378" width="12.140625" customWidth="1"/>
    <col min="5379" max="5379" width="0" hidden="1" customWidth="1"/>
    <col min="5380" max="5385" width="12.140625" customWidth="1"/>
    <col min="5622" max="5622" width="18.140625" customWidth="1"/>
    <col min="5623" max="5623" width="46.140625" customWidth="1"/>
    <col min="5624" max="5624" width="10" customWidth="1"/>
    <col min="5625" max="5625" width="12.42578125" customWidth="1"/>
    <col min="5626" max="5626" width="16.140625" customWidth="1"/>
    <col min="5627" max="5627" width="25.28515625" customWidth="1"/>
    <col min="5628" max="5629" width="13.7109375" customWidth="1"/>
    <col min="5630" max="5630" width="12.140625" customWidth="1"/>
    <col min="5631" max="5631" width="9.7109375" customWidth="1"/>
    <col min="5632" max="5634" width="12.140625" customWidth="1"/>
    <col min="5635" max="5635" width="0" hidden="1" customWidth="1"/>
    <col min="5636" max="5641" width="12.140625" customWidth="1"/>
    <col min="5878" max="5878" width="18.140625" customWidth="1"/>
    <col min="5879" max="5879" width="46.140625" customWidth="1"/>
    <col min="5880" max="5880" width="10" customWidth="1"/>
    <col min="5881" max="5881" width="12.42578125" customWidth="1"/>
    <col min="5882" max="5882" width="16.140625" customWidth="1"/>
    <col min="5883" max="5883" width="25.28515625" customWidth="1"/>
    <col min="5884" max="5885" width="13.7109375" customWidth="1"/>
    <col min="5886" max="5886" width="12.140625" customWidth="1"/>
    <col min="5887" max="5887" width="9.7109375" customWidth="1"/>
    <col min="5888" max="5890" width="12.140625" customWidth="1"/>
    <col min="5891" max="5891" width="0" hidden="1" customWidth="1"/>
    <col min="5892" max="5897" width="12.140625" customWidth="1"/>
    <col min="6134" max="6134" width="18.140625" customWidth="1"/>
    <col min="6135" max="6135" width="46.140625" customWidth="1"/>
    <col min="6136" max="6136" width="10" customWidth="1"/>
    <col min="6137" max="6137" width="12.42578125" customWidth="1"/>
    <col min="6138" max="6138" width="16.140625" customWidth="1"/>
    <col min="6139" max="6139" width="25.28515625" customWidth="1"/>
    <col min="6140" max="6141" width="13.7109375" customWidth="1"/>
    <col min="6142" max="6142" width="12.140625" customWidth="1"/>
    <col min="6143" max="6143" width="9.7109375" customWidth="1"/>
    <col min="6144" max="6146" width="12.140625" customWidth="1"/>
    <col min="6147" max="6147" width="0" hidden="1" customWidth="1"/>
    <col min="6148" max="6153" width="12.140625" customWidth="1"/>
    <col min="6390" max="6390" width="18.140625" customWidth="1"/>
    <col min="6391" max="6391" width="46.140625" customWidth="1"/>
    <col min="6392" max="6392" width="10" customWidth="1"/>
    <col min="6393" max="6393" width="12.42578125" customWidth="1"/>
    <col min="6394" max="6394" width="16.140625" customWidth="1"/>
    <col min="6395" max="6395" width="25.28515625" customWidth="1"/>
    <col min="6396" max="6397" width="13.7109375" customWidth="1"/>
    <col min="6398" max="6398" width="12.140625" customWidth="1"/>
    <col min="6399" max="6399" width="9.7109375" customWidth="1"/>
    <col min="6400" max="6402" width="12.140625" customWidth="1"/>
    <col min="6403" max="6403" width="0" hidden="1" customWidth="1"/>
    <col min="6404" max="6409" width="12.140625" customWidth="1"/>
    <col min="6646" max="6646" width="18.140625" customWidth="1"/>
    <col min="6647" max="6647" width="46.140625" customWidth="1"/>
    <col min="6648" max="6648" width="10" customWidth="1"/>
    <col min="6649" max="6649" width="12.42578125" customWidth="1"/>
    <col min="6650" max="6650" width="16.140625" customWidth="1"/>
    <col min="6651" max="6651" width="25.28515625" customWidth="1"/>
    <col min="6652" max="6653" width="13.7109375" customWidth="1"/>
    <col min="6654" max="6654" width="12.140625" customWidth="1"/>
    <col min="6655" max="6655" width="9.7109375" customWidth="1"/>
    <col min="6656" max="6658" width="12.140625" customWidth="1"/>
    <col min="6659" max="6659" width="0" hidden="1" customWidth="1"/>
    <col min="6660" max="6665" width="12.140625" customWidth="1"/>
    <col min="6902" max="6902" width="18.140625" customWidth="1"/>
    <col min="6903" max="6903" width="46.140625" customWidth="1"/>
    <col min="6904" max="6904" width="10" customWidth="1"/>
    <col min="6905" max="6905" width="12.42578125" customWidth="1"/>
    <col min="6906" max="6906" width="16.140625" customWidth="1"/>
    <col min="6907" max="6907" width="25.28515625" customWidth="1"/>
    <col min="6908" max="6909" width="13.7109375" customWidth="1"/>
    <col min="6910" max="6910" width="12.140625" customWidth="1"/>
    <col min="6911" max="6911" width="9.7109375" customWidth="1"/>
    <col min="6912" max="6914" width="12.140625" customWidth="1"/>
    <col min="6915" max="6915" width="0" hidden="1" customWidth="1"/>
    <col min="6916" max="6921" width="12.140625" customWidth="1"/>
    <col min="7158" max="7158" width="18.140625" customWidth="1"/>
    <col min="7159" max="7159" width="46.140625" customWidth="1"/>
    <col min="7160" max="7160" width="10" customWidth="1"/>
    <col min="7161" max="7161" width="12.42578125" customWidth="1"/>
    <col min="7162" max="7162" width="16.140625" customWidth="1"/>
    <col min="7163" max="7163" width="25.28515625" customWidth="1"/>
    <col min="7164" max="7165" width="13.7109375" customWidth="1"/>
    <col min="7166" max="7166" width="12.140625" customWidth="1"/>
    <col min="7167" max="7167" width="9.7109375" customWidth="1"/>
    <col min="7168" max="7170" width="12.140625" customWidth="1"/>
    <col min="7171" max="7171" width="0" hidden="1" customWidth="1"/>
    <col min="7172" max="7177" width="12.140625" customWidth="1"/>
    <col min="7414" max="7414" width="18.140625" customWidth="1"/>
    <col min="7415" max="7415" width="46.140625" customWidth="1"/>
    <col min="7416" max="7416" width="10" customWidth="1"/>
    <col min="7417" max="7417" width="12.42578125" customWidth="1"/>
    <col min="7418" max="7418" width="16.140625" customWidth="1"/>
    <col min="7419" max="7419" width="25.28515625" customWidth="1"/>
    <col min="7420" max="7421" width="13.7109375" customWidth="1"/>
    <col min="7422" max="7422" width="12.140625" customWidth="1"/>
    <col min="7423" max="7423" width="9.7109375" customWidth="1"/>
    <col min="7424" max="7426" width="12.140625" customWidth="1"/>
    <col min="7427" max="7427" width="0" hidden="1" customWidth="1"/>
    <col min="7428" max="7433" width="12.140625" customWidth="1"/>
    <col min="7670" max="7670" width="18.140625" customWidth="1"/>
    <col min="7671" max="7671" width="46.140625" customWidth="1"/>
    <col min="7672" max="7672" width="10" customWidth="1"/>
    <col min="7673" max="7673" width="12.42578125" customWidth="1"/>
    <col min="7674" max="7674" width="16.140625" customWidth="1"/>
    <col min="7675" max="7675" width="25.28515625" customWidth="1"/>
    <col min="7676" max="7677" width="13.7109375" customWidth="1"/>
    <col min="7678" max="7678" width="12.140625" customWidth="1"/>
    <col min="7679" max="7679" width="9.7109375" customWidth="1"/>
    <col min="7680" max="7682" width="12.140625" customWidth="1"/>
    <col min="7683" max="7683" width="0" hidden="1" customWidth="1"/>
    <col min="7684" max="7689" width="12.140625" customWidth="1"/>
    <col min="7926" max="7926" width="18.140625" customWidth="1"/>
    <col min="7927" max="7927" width="46.140625" customWidth="1"/>
    <col min="7928" max="7928" width="10" customWidth="1"/>
    <col min="7929" max="7929" width="12.42578125" customWidth="1"/>
    <col min="7930" max="7930" width="16.140625" customWidth="1"/>
    <col min="7931" max="7931" width="25.28515625" customWidth="1"/>
    <col min="7932" max="7933" width="13.7109375" customWidth="1"/>
    <col min="7934" max="7934" width="12.140625" customWidth="1"/>
    <col min="7935" max="7935" width="9.7109375" customWidth="1"/>
    <col min="7936" max="7938" width="12.140625" customWidth="1"/>
    <col min="7939" max="7939" width="0" hidden="1" customWidth="1"/>
    <col min="7940" max="7945" width="12.140625" customWidth="1"/>
    <col min="8182" max="8182" width="18.140625" customWidth="1"/>
    <col min="8183" max="8183" width="46.140625" customWidth="1"/>
    <col min="8184" max="8184" width="10" customWidth="1"/>
    <col min="8185" max="8185" width="12.42578125" customWidth="1"/>
    <col min="8186" max="8186" width="16.140625" customWidth="1"/>
    <col min="8187" max="8187" width="25.28515625" customWidth="1"/>
    <col min="8188" max="8189" width="13.7109375" customWidth="1"/>
    <col min="8190" max="8190" width="12.140625" customWidth="1"/>
    <col min="8191" max="8191" width="9.7109375" customWidth="1"/>
    <col min="8192" max="8194" width="12.140625" customWidth="1"/>
    <col min="8195" max="8195" width="0" hidden="1" customWidth="1"/>
    <col min="8196" max="8201" width="12.140625" customWidth="1"/>
    <col min="8438" max="8438" width="18.140625" customWidth="1"/>
    <col min="8439" max="8439" width="46.140625" customWidth="1"/>
    <col min="8440" max="8440" width="10" customWidth="1"/>
    <col min="8441" max="8441" width="12.42578125" customWidth="1"/>
    <col min="8442" max="8442" width="16.140625" customWidth="1"/>
    <col min="8443" max="8443" width="25.28515625" customWidth="1"/>
    <col min="8444" max="8445" width="13.7109375" customWidth="1"/>
    <col min="8446" max="8446" width="12.140625" customWidth="1"/>
    <col min="8447" max="8447" width="9.7109375" customWidth="1"/>
    <col min="8448" max="8450" width="12.140625" customWidth="1"/>
    <col min="8451" max="8451" width="0" hidden="1" customWidth="1"/>
    <col min="8452" max="8457" width="12.140625" customWidth="1"/>
    <col min="8694" max="8694" width="18.140625" customWidth="1"/>
    <col min="8695" max="8695" width="46.140625" customWidth="1"/>
    <col min="8696" max="8696" width="10" customWidth="1"/>
    <col min="8697" max="8697" width="12.42578125" customWidth="1"/>
    <col min="8698" max="8698" width="16.140625" customWidth="1"/>
    <col min="8699" max="8699" width="25.28515625" customWidth="1"/>
    <col min="8700" max="8701" width="13.7109375" customWidth="1"/>
    <col min="8702" max="8702" width="12.140625" customWidth="1"/>
    <col min="8703" max="8703" width="9.7109375" customWidth="1"/>
    <col min="8704" max="8706" width="12.140625" customWidth="1"/>
    <col min="8707" max="8707" width="0" hidden="1" customWidth="1"/>
    <col min="8708" max="8713" width="12.140625" customWidth="1"/>
    <col min="8950" max="8950" width="18.140625" customWidth="1"/>
    <col min="8951" max="8951" width="46.140625" customWidth="1"/>
    <col min="8952" max="8952" width="10" customWidth="1"/>
    <col min="8953" max="8953" width="12.42578125" customWidth="1"/>
    <col min="8954" max="8954" width="16.140625" customWidth="1"/>
    <col min="8955" max="8955" width="25.28515625" customWidth="1"/>
    <col min="8956" max="8957" width="13.7109375" customWidth="1"/>
    <col min="8958" max="8958" width="12.140625" customWidth="1"/>
    <col min="8959" max="8959" width="9.7109375" customWidth="1"/>
    <col min="8960" max="8962" width="12.140625" customWidth="1"/>
    <col min="8963" max="8963" width="0" hidden="1" customWidth="1"/>
    <col min="8964" max="8969" width="12.140625" customWidth="1"/>
    <col min="9206" max="9206" width="18.140625" customWidth="1"/>
    <col min="9207" max="9207" width="46.140625" customWidth="1"/>
    <col min="9208" max="9208" width="10" customWidth="1"/>
    <col min="9209" max="9209" width="12.42578125" customWidth="1"/>
    <col min="9210" max="9210" width="16.140625" customWidth="1"/>
    <col min="9211" max="9211" width="25.28515625" customWidth="1"/>
    <col min="9212" max="9213" width="13.7109375" customWidth="1"/>
    <col min="9214" max="9214" width="12.140625" customWidth="1"/>
    <col min="9215" max="9215" width="9.7109375" customWidth="1"/>
    <col min="9216" max="9218" width="12.140625" customWidth="1"/>
    <col min="9219" max="9219" width="0" hidden="1" customWidth="1"/>
    <col min="9220" max="9225" width="12.140625" customWidth="1"/>
    <col min="9462" max="9462" width="18.140625" customWidth="1"/>
    <col min="9463" max="9463" width="46.140625" customWidth="1"/>
    <col min="9464" max="9464" width="10" customWidth="1"/>
    <col min="9465" max="9465" width="12.42578125" customWidth="1"/>
    <col min="9466" max="9466" width="16.140625" customWidth="1"/>
    <col min="9467" max="9467" width="25.28515625" customWidth="1"/>
    <col min="9468" max="9469" width="13.7109375" customWidth="1"/>
    <col min="9470" max="9470" width="12.140625" customWidth="1"/>
    <col min="9471" max="9471" width="9.7109375" customWidth="1"/>
    <col min="9472" max="9474" width="12.140625" customWidth="1"/>
    <col min="9475" max="9475" width="0" hidden="1" customWidth="1"/>
    <col min="9476" max="9481" width="12.140625" customWidth="1"/>
    <col min="9718" max="9718" width="18.140625" customWidth="1"/>
    <col min="9719" max="9719" width="46.140625" customWidth="1"/>
    <col min="9720" max="9720" width="10" customWidth="1"/>
    <col min="9721" max="9721" width="12.42578125" customWidth="1"/>
    <col min="9722" max="9722" width="16.140625" customWidth="1"/>
    <col min="9723" max="9723" width="25.28515625" customWidth="1"/>
    <col min="9724" max="9725" width="13.7109375" customWidth="1"/>
    <col min="9726" max="9726" width="12.140625" customWidth="1"/>
    <col min="9727" max="9727" width="9.7109375" customWidth="1"/>
    <col min="9728" max="9730" width="12.140625" customWidth="1"/>
    <col min="9731" max="9731" width="0" hidden="1" customWidth="1"/>
    <col min="9732" max="9737" width="12.140625" customWidth="1"/>
    <col min="9974" max="9974" width="18.140625" customWidth="1"/>
    <col min="9975" max="9975" width="46.140625" customWidth="1"/>
    <col min="9976" max="9976" width="10" customWidth="1"/>
    <col min="9977" max="9977" width="12.42578125" customWidth="1"/>
    <col min="9978" max="9978" width="16.140625" customWidth="1"/>
    <col min="9979" max="9979" width="25.28515625" customWidth="1"/>
    <col min="9980" max="9981" width="13.7109375" customWidth="1"/>
    <col min="9982" max="9982" width="12.140625" customWidth="1"/>
    <col min="9983" max="9983" width="9.7109375" customWidth="1"/>
    <col min="9984" max="9986" width="12.140625" customWidth="1"/>
    <col min="9987" max="9987" width="0" hidden="1" customWidth="1"/>
    <col min="9988" max="9993" width="12.140625" customWidth="1"/>
    <col min="10230" max="10230" width="18.140625" customWidth="1"/>
    <col min="10231" max="10231" width="46.140625" customWidth="1"/>
    <col min="10232" max="10232" width="10" customWidth="1"/>
    <col min="10233" max="10233" width="12.42578125" customWidth="1"/>
    <col min="10234" max="10234" width="16.140625" customWidth="1"/>
    <col min="10235" max="10235" width="25.28515625" customWidth="1"/>
    <col min="10236" max="10237" width="13.7109375" customWidth="1"/>
    <col min="10238" max="10238" width="12.140625" customWidth="1"/>
    <col min="10239" max="10239" width="9.7109375" customWidth="1"/>
    <col min="10240" max="10242" width="12.140625" customWidth="1"/>
    <col min="10243" max="10243" width="0" hidden="1" customWidth="1"/>
    <col min="10244" max="10249" width="12.140625" customWidth="1"/>
    <col min="10486" max="10486" width="18.140625" customWidth="1"/>
    <col min="10487" max="10487" width="46.140625" customWidth="1"/>
    <col min="10488" max="10488" width="10" customWidth="1"/>
    <col min="10489" max="10489" width="12.42578125" customWidth="1"/>
    <col min="10490" max="10490" width="16.140625" customWidth="1"/>
    <col min="10491" max="10491" width="25.28515625" customWidth="1"/>
    <col min="10492" max="10493" width="13.7109375" customWidth="1"/>
    <col min="10494" max="10494" width="12.140625" customWidth="1"/>
    <col min="10495" max="10495" width="9.7109375" customWidth="1"/>
    <col min="10496" max="10498" width="12.140625" customWidth="1"/>
    <col min="10499" max="10499" width="0" hidden="1" customWidth="1"/>
    <col min="10500" max="10505" width="12.140625" customWidth="1"/>
    <col min="10742" max="10742" width="18.140625" customWidth="1"/>
    <col min="10743" max="10743" width="46.140625" customWidth="1"/>
    <col min="10744" max="10744" width="10" customWidth="1"/>
    <col min="10745" max="10745" width="12.42578125" customWidth="1"/>
    <col min="10746" max="10746" width="16.140625" customWidth="1"/>
    <col min="10747" max="10747" width="25.28515625" customWidth="1"/>
    <col min="10748" max="10749" width="13.7109375" customWidth="1"/>
    <col min="10750" max="10750" width="12.140625" customWidth="1"/>
    <col min="10751" max="10751" width="9.7109375" customWidth="1"/>
    <col min="10752" max="10754" width="12.140625" customWidth="1"/>
    <col min="10755" max="10755" width="0" hidden="1" customWidth="1"/>
    <col min="10756" max="10761" width="12.140625" customWidth="1"/>
    <col min="10998" max="10998" width="18.140625" customWidth="1"/>
    <col min="10999" max="10999" width="46.140625" customWidth="1"/>
    <col min="11000" max="11000" width="10" customWidth="1"/>
    <col min="11001" max="11001" width="12.42578125" customWidth="1"/>
    <col min="11002" max="11002" width="16.140625" customWidth="1"/>
    <col min="11003" max="11003" width="25.28515625" customWidth="1"/>
    <col min="11004" max="11005" width="13.7109375" customWidth="1"/>
    <col min="11006" max="11006" width="12.140625" customWidth="1"/>
    <col min="11007" max="11007" width="9.7109375" customWidth="1"/>
    <col min="11008" max="11010" width="12.140625" customWidth="1"/>
    <col min="11011" max="11011" width="0" hidden="1" customWidth="1"/>
    <col min="11012" max="11017" width="12.140625" customWidth="1"/>
    <col min="11254" max="11254" width="18.140625" customWidth="1"/>
    <col min="11255" max="11255" width="46.140625" customWidth="1"/>
    <col min="11256" max="11256" width="10" customWidth="1"/>
    <col min="11257" max="11257" width="12.42578125" customWidth="1"/>
    <col min="11258" max="11258" width="16.140625" customWidth="1"/>
    <col min="11259" max="11259" width="25.28515625" customWidth="1"/>
    <col min="11260" max="11261" width="13.7109375" customWidth="1"/>
    <col min="11262" max="11262" width="12.140625" customWidth="1"/>
    <col min="11263" max="11263" width="9.7109375" customWidth="1"/>
    <col min="11264" max="11266" width="12.140625" customWidth="1"/>
    <col min="11267" max="11267" width="0" hidden="1" customWidth="1"/>
    <col min="11268" max="11273" width="12.140625" customWidth="1"/>
    <col min="11510" max="11510" width="18.140625" customWidth="1"/>
    <col min="11511" max="11511" width="46.140625" customWidth="1"/>
    <col min="11512" max="11512" width="10" customWidth="1"/>
    <col min="11513" max="11513" width="12.42578125" customWidth="1"/>
    <col min="11514" max="11514" width="16.140625" customWidth="1"/>
    <col min="11515" max="11515" width="25.28515625" customWidth="1"/>
    <col min="11516" max="11517" width="13.7109375" customWidth="1"/>
    <col min="11518" max="11518" width="12.140625" customWidth="1"/>
    <col min="11519" max="11519" width="9.7109375" customWidth="1"/>
    <col min="11520" max="11522" width="12.140625" customWidth="1"/>
    <col min="11523" max="11523" width="0" hidden="1" customWidth="1"/>
    <col min="11524" max="11529" width="12.140625" customWidth="1"/>
    <col min="11766" max="11766" width="18.140625" customWidth="1"/>
    <col min="11767" max="11767" width="46.140625" customWidth="1"/>
    <col min="11768" max="11768" width="10" customWidth="1"/>
    <col min="11769" max="11769" width="12.42578125" customWidth="1"/>
    <col min="11770" max="11770" width="16.140625" customWidth="1"/>
    <col min="11771" max="11771" width="25.28515625" customWidth="1"/>
    <col min="11772" max="11773" width="13.7109375" customWidth="1"/>
    <col min="11774" max="11774" width="12.140625" customWidth="1"/>
    <col min="11775" max="11775" width="9.7109375" customWidth="1"/>
    <col min="11776" max="11778" width="12.140625" customWidth="1"/>
    <col min="11779" max="11779" width="0" hidden="1" customWidth="1"/>
    <col min="11780" max="11785" width="12.140625" customWidth="1"/>
    <col min="12022" max="12022" width="18.140625" customWidth="1"/>
    <col min="12023" max="12023" width="46.140625" customWidth="1"/>
    <col min="12024" max="12024" width="10" customWidth="1"/>
    <col min="12025" max="12025" width="12.42578125" customWidth="1"/>
    <col min="12026" max="12026" width="16.140625" customWidth="1"/>
    <col min="12027" max="12027" width="25.28515625" customWidth="1"/>
    <col min="12028" max="12029" width="13.7109375" customWidth="1"/>
    <col min="12030" max="12030" width="12.140625" customWidth="1"/>
    <col min="12031" max="12031" width="9.7109375" customWidth="1"/>
    <col min="12032" max="12034" width="12.140625" customWidth="1"/>
    <col min="12035" max="12035" width="0" hidden="1" customWidth="1"/>
    <col min="12036" max="12041" width="12.140625" customWidth="1"/>
    <col min="12278" max="12278" width="18.140625" customWidth="1"/>
    <col min="12279" max="12279" width="46.140625" customWidth="1"/>
    <col min="12280" max="12280" width="10" customWidth="1"/>
    <col min="12281" max="12281" width="12.42578125" customWidth="1"/>
    <col min="12282" max="12282" width="16.140625" customWidth="1"/>
    <col min="12283" max="12283" width="25.28515625" customWidth="1"/>
    <col min="12284" max="12285" width="13.7109375" customWidth="1"/>
    <col min="12286" max="12286" width="12.140625" customWidth="1"/>
    <col min="12287" max="12287" width="9.7109375" customWidth="1"/>
    <col min="12288" max="12290" width="12.140625" customWidth="1"/>
    <col min="12291" max="12291" width="0" hidden="1" customWidth="1"/>
    <col min="12292" max="12297" width="12.140625" customWidth="1"/>
    <col min="12534" max="12534" width="18.140625" customWidth="1"/>
    <col min="12535" max="12535" width="46.140625" customWidth="1"/>
    <col min="12536" max="12536" width="10" customWidth="1"/>
    <col min="12537" max="12537" width="12.42578125" customWidth="1"/>
    <col min="12538" max="12538" width="16.140625" customWidth="1"/>
    <col min="12539" max="12539" width="25.28515625" customWidth="1"/>
    <col min="12540" max="12541" width="13.7109375" customWidth="1"/>
    <col min="12542" max="12542" width="12.140625" customWidth="1"/>
    <col min="12543" max="12543" width="9.7109375" customWidth="1"/>
    <col min="12544" max="12546" width="12.140625" customWidth="1"/>
    <col min="12547" max="12547" width="0" hidden="1" customWidth="1"/>
    <col min="12548" max="12553" width="12.140625" customWidth="1"/>
    <col min="12790" max="12790" width="18.140625" customWidth="1"/>
    <col min="12791" max="12791" width="46.140625" customWidth="1"/>
    <col min="12792" max="12792" width="10" customWidth="1"/>
    <col min="12793" max="12793" width="12.42578125" customWidth="1"/>
    <col min="12794" max="12794" width="16.140625" customWidth="1"/>
    <col min="12795" max="12795" width="25.28515625" customWidth="1"/>
    <col min="12796" max="12797" width="13.7109375" customWidth="1"/>
    <col min="12798" max="12798" width="12.140625" customWidth="1"/>
    <col min="12799" max="12799" width="9.7109375" customWidth="1"/>
    <col min="12800" max="12802" width="12.140625" customWidth="1"/>
    <col min="12803" max="12803" width="0" hidden="1" customWidth="1"/>
    <col min="12804" max="12809" width="12.140625" customWidth="1"/>
    <col min="13046" max="13046" width="18.140625" customWidth="1"/>
    <col min="13047" max="13047" width="46.140625" customWidth="1"/>
    <col min="13048" max="13048" width="10" customWidth="1"/>
    <col min="13049" max="13049" width="12.42578125" customWidth="1"/>
    <col min="13050" max="13050" width="16.140625" customWidth="1"/>
    <col min="13051" max="13051" width="25.28515625" customWidth="1"/>
    <col min="13052" max="13053" width="13.7109375" customWidth="1"/>
    <col min="13054" max="13054" width="12.140625" customWidth="1"/>
    <col min="13055" max="13055" width="9.7109375" customWidth="1"/>
    <col min="13056" max="13058" width="12.140625" customWidth="1"/>
    <col min="13059" max="13059" width="0" hidden="1" customWidth="1"/>
    <col min="13060" max="13065" width="12.140625" customWidth="1"/>
    <col min="13302" max="13302" width="18.140625" customWidth="1"/>
    <col min="13303" max="13303" width="46.140625" customWidth="1"/>
    <col min="13304" max="13304" width="10" customWidth="1"/>
    <col min="13305" max="13305" width="12.42578125" customWidth="1"/>
    <col min="13306" max="13306" width="16.140625" customWidth="1"/>
    <col min="13307" max="13307" width="25.28515625" customWidth="1"/>
    <col min="13308" max="13309" width="13.7109375" customWidth="1"/>
    <col min="13310" max="13310" width="12.140625" customWidth="1"/>
    <col min="13311" max="13311" width="9.7109375" customWidth="1"/>
    <col min="13312" max="13314" width="12.140625" customWidth="1"/>
    <col min="13315" max="13315" width="0" hidden="1" customWidth="1"/>
    <col min="13316" max="13321" width="12.140625" customWidth="1"/>
    <col min="13558" max="13558" width="18.140625" customWidth="1"/>
    <col min="13559" max="13559" width="46.140625" customWidth="1"/>
    <col min="13560" max="13560" width="10" customWidth="1"/>
    <col min="13561" max="13561" width="12.42578125" customWidth="1"/>
    <col min="13562" max="13562" width="16.140625" customWidth="1"/>
    <col min="13563" max="13563" width="25.28515625" customWidth="1"/>
    <col min="13564" max="13565" width="13.7109375" customWidth="1"/>
    <col min="13566" max="13566" width="12.140625" customWidth="1"/>
    <col min="13567" max="13567" width="9.7109375" customWidth="1"/>
    <col min="13568" max="13570" width="12.140625" customWidth="1"/>
    <col min="13571" max="13571" width="0" hidden="1" customWidth="1"/>
    <col min="13572" max="13577" width="12.140625" customWidth="1"/>
    <col min="13814" max="13814" width="18.140625" customWidth="1"/>
    <col min="13815" max="13815" width="46.140625" customWidth="1"/>
    <col min="13816" max="13816" width="10" customWidth="1"/>
    <col min="13817" max="13817" width="12.42578125" customWidth="1"/>
    <col min="13818" max="13818" width="16.140625" customWidth="1"/>
    <col min="13819" max="13819" width="25.28515625" customWidth="1"/>
    <col min="13820" max="13821" width="13.7109375" customWidth="1"/>
    <col min="13822" max="13822" width="12.140625" customWidth="1"/>
    <col min="13823" max="13823" width="9.7109375" customWidth="1"/>
    <col min="13824" max="13826" width="12.140625" customWidth="1"/>
    <col min="13827" max="13827" width="0" hidden="1" customWidth="1"/>
    <col min="13828" max="13833" width="12.140625" customWidth="1"/>
    <col min="14070" max="14070" width="18.140625" customWidth="1"/>
    <col min="14071" max="14071" width="46.140625" customWidth="1"/>
    <col min="14072" max="14072" width="10" customWidth="1"/>
    <col min="14073" max="14073" width="12.42578125" customWidth="1"/>
    <col min="14074" max="14074" width="16.140625" customWidth="1"/>
    <col min="14075" max="14075" width="25.28515625" customWidth="1"/>
    <col min="14076" max="14077" width="13.7109375" customWidth="1"/>
    <col min="14078" max="14078" width="12.140625" customWidth="1"/>
    <col min="14079" max="14079" width="9.7109375" customWidth="1"/>
    <col min="14080" max="14082" width="12.140625" customWidth="1"/>
    <col min="14083" max="14083" width="0" hidden="1" customWidth="1"/>
    <col min="14084" max="14089" width="12.140625" customWidth="1"/>
    <col min="14326" max="14326" width="18.140625" customWidth="1"/>
    <col min="14327" max="14327" width="46.140625" customWidth="1"/>
    <col min="14328" max="14328" width="10" customWidth="1"/>
    <col min="14329" max="14329" width="12.42578125" customWidth="1"/>
    <col min="14330" max="14330" width="16.140625" customWidth="1"/>
    <col min="14331" max="14331" width="25.28515625" customWidth="1"/>
    <col min="14332" max="14333" width="13.7109375" customWidth="1"/>
    <col min="14334" max="14334" width="12.140625" customWidth="1"/>
    <col min="14335" max="14335" width="9.7109375" customWidth="1"/>
    <col min="14336" max="14338" width="12.140625" customWidth="1"/>
    <col min="14339" max="14339" width="0" hidden="1" customWidth="1"/>
    <col min="14340" max="14345" width="12.140625" customWidth="1"/>
    <col min="14582" max="14582" width="18.140625" customWidth="1"/>
    <col min="14583" max="14583" width="46.140625" customWidth="1"/>
    <col min="14584" max="14584" width="10" customWidth="1"/>
    <col min="14585" max="14585" width="12.42578125" customWidth="1"/>
    <col min="14586" max="14586" width="16.140625" customWidth="1"/>
    <col min="14587" max="14587" width="25.28515625" customWidth="1"/>
    <col min="14588" max="14589" width="13.7109375" customWidth="1"/>
    <col min="14590" max="14590" width="12.140625" customWidth="1"/>
    <col min="14591" max="14591" width="9.7109375" customWidth="1"/>
    <col min="14592" max="14594" width="12.140625" customWidth="1"/>
    <col min="14595" max="14595" width="0" hidden="1" customWidth="1"/>
    <col min="14596" max="14601" width="12.140625" customWidth="1"/>
    <col min="14838" max="14838" width="18.140625" customWidth="1"/>
    <col min="14839" max="14839" width="46.140625" customWidth="1"/>
    <col min="14840" max="14840" width="10" customWidth="1"/>
    <col min="14841" max="14841" width="12.42578125" customWidth="1"/>
    <col min="14842" max="14842" width="16.140625" customWidth="1"/>
    <col min="14843" max="14843" width="25.28515625" customWidth="1"/>
    <col min="14844" max="14845" width="13.7109375" customWidth="1"/>
    <col min="14846" max="14846" width="12.140625" customWidth="1"/>
    <col min="14847" max="14847" width="9.7109375" customWidth="1"/>
    <col min="14848" max="14850" width="12.140625" customWidth="1"/>
    <col min="14851" max="14851" width="0" hidden="1" customWidth="1"/>
    <col min="14852" max="14857" width="12.140625" customWidth="1"/>
    <col min="15094" max="15094" width="18.140625" customWidth="1"/>
    <col min="15095" max="15095" width="46.140625" customWidth="1"/>
    <col min="15096" max="15096" width="10" customWidth="1"/>
    <col min="15097" max="15097" width="12.42578125" customWidth="1"/>
    <col min="15098" max="15098" width="16.140625" customWidth="1"/>
    <col min="15099" max="15099" width="25.28515625" customWidth="1"/>
    <col min="15100" max="15101" width="13.7109375" customWidth="1"/>
    <col min="15102" max="15102" width="12.140625" customWidth="1"/>
    <col min="15103" max="15103" width="9.7109375" customWidth="1"/>
    <col min="15104" max="15106" width="12.140625" customWidth="1"/>
    <col min="15107" max="15107" width="0" hidden="1" customWidth="1"/>
    <col min="15108" max="15113" width="12.140625" customWidth="1"/>
    <col min="15350" max="15350" width="18.140625" customWidth="1"/>
    <col min="15351" max="15351" width="46.140625" customWidth="1"/>
    <col min="15352" max="15352" width="10" customWidth="1"/>
    <col min="15353" max="15353" width="12.42578125" customWidth="1"/>
    <col min="15354" max="15354" width="16.140625" customWidth="1"/>
    <col min="15355" max="15355" width="25.28515625" customWidth="1"/>
    <col min="15356" max="15357" width="13.7109375" customWidth="1"/>
    <col min="15358" max="15358" width="12.140625" customWidth="1"/>
    <col min="15359" max="15359" width="9.7109375" customWidth="1"/>
    <col min="15360" max="15362" width="12.140625" customWidth="1"/>
    <col min="15363" max="15363" width="0" hidden="1" customWidth="1"/>
    <col min="15364" max="15369" width="12.140625" customWidth="1"/>
    <col min="15606" max="15606" width="18.140625" customWidth="1"/>
    <col min="15607" max="15607" width="46.140625" customWidth="1"/>
    <col min="15608" max="15608" width="10" customWidth="1"/>
    <col min="15609" max="15609" width="12.42578125" customWidth="1"/>
    <col min="15610" max="15610" width="16.140625" customWidth="1"/>
    <col min="15611" max="15611" width="25.28515625" customWidth="1"/>
    <col min="15612" max="15613" width="13.7109375" customWidth="1"/>
    <col min="15614" max="15614" width="12.140625" customWidth="1"/>
    <col min="15615" max="15615" width="9.7109375" customWidth="1"/>
    <col min="15616" max="15618" width="12.140625" customWidth="1"/>
    <col min="15619" max="15619" width="0" hidden="1" customWidth="1"/>
    <col min="15620" max="15625" width="12.140625" customWidth="1"/>
    <col min="15862" max="15862" width="18.140625" customWidth="1"/>
    <col min="15863" max="15863" width="46.140625" customWidth="1"/>
    <col min="15864" max="15864" width="10" customWidth="1"/>
    <col min="15865" max="15865" width="12.42578125" customWidth="1"/>
    <col min="15866" max="15866" width="16.140625" customWidth="1"/>
    <col min="15867" max="15867" width="25.28515625" customWidth="1"/>
    <col min="15868" max="15869" width="13.7109375" customWidth="1"/>
    <col min="15870" max="15870" width="12.140625" customWidth="1"/>
    <col min="15871" max="15871" width="9.7109375" customWidth="1"/>
    <col min="15872" max="15874" width="12.140625" customWidth="1"/>
    <col min="15875" max="15875" width="0" hidden="1" customWidth="1"/>
    <col min="15876" max="15881" width="12.140625" customWidth="1"/>
    <col min="16118" max="16118" width="18.140625" customWidth="1"/>
    <col min="16119" max="16119" width="46.140625" customWidth="1"/>
    <col min="16120" max="16120" width="10" customWidth="1"/>
    <col min="16121" max="16121" width="12.42578125" customWidth="1"/>
    <col min="16122" max="16122" width="16.140625" customWidth="1"/>
    <col min="16123" max="16123" width="25.28515625" customWidth="1"/>
    <col min="16124" max="16125" width="13.7109375" customWidth="1"/>
    <col min="16126" max="16126" width="12.140625" customWidth="1"/>
    <col min="16127" max="16127" width="9.7109375" customWidth="1"/>
    <col min="16128" max="16130" width="12.140625" customWidth="1"/>
    <col min="16131" max="16131" width="0" hidden="1" customWidth="1"/>
    <col min="16132" max="16137" width="12.140625" customWidth="1"/>
  </cols>
  <sheetData>
    <row r="1" spans="1:11" ht="15" customHeight="1">
      <c r="A1" s="552"/>
      <c r="B1" s="606" t="s">
        <v>275</v>
      </c>
      <c r="C1" s="606"/>
      <c r="D1" s="606"/>
      <c r="E1" s="606"/>
      <c r="F1" s="606"/>
      <c r="G1" s="606"/>
      <c r="H1" s="606"/>
      <c r="I1" s="606"/>
    </row>
    <row r="2" spans="1:11" ht="15" customHeight="1">
      <c r="A2" s="552"/>
      <c r="B2" s="606"/>
      <c r="C2" s="606"/>
      <c r="D2" s="606"/>
      <c r="E2" s="606"/>
      <c r="F2" s="606"/>
      <c r="G2" s="606"/>
      <c r="H2" s="606"/>
      <c r="I2" s="606"/>
      <c r="K2" t="s">
        <v>276</v>
      </c>
    </row>
    <row r="3" spans="1:11" ht="15" customHeight="1">
      <c r="A3" s="552"/>
      <c r="B3" s="606"/>
      <c r="C3" s="606"/>
      <c r="D3" s="606"/>
      <c r="E3" s="606"/>
      <c r="F3" s="606"/>
      <c r="G3" s="606"/>
      <c r="H3" s="606"/>
      <c r="I3" s="606"/>
    </row>
    <row r="5" spans="1:11">
      <c r="B5" s="319"/>
    </row>
    <row r="6" spans="1:11" s="1" customFormat="1" ht="30">
      <c r="B6" s="1" t="s">
        <v>277</v>
      </c>
      <c r="C6" s="2" t="s">
        <v>278</v>
      </c>
      <c r="D6" s="2" t="s">
        <v>279</v>
      </c>
      <c r="E6" s="2" t="s">
        <v>280</v>
      </c>
      <c r="F6" s="2" t="s">
        <v>281</v>
      </c>
      <c r="G6" s="2" t="s">
        <v>282</v>
      </c>
      <c r="H6" s="2" t="s">
        <v>283</v>
      </c>
      <c r="I6" s="2" t="s">
        <v>284</v>
      </c>
      <c r="J6" s="442" t="s">
        <v>285</v>
      </c>
      <c r="K6" s="442" t="s">
        <v>286</v>
      </c>
    </row>
    <row r="7" spans="1:11">
      <c r="B7" s="320" t="s">
        <v>287</v>
      </c>
      <c r="C7" s="437"/>
      <c r="D7" s="437"/>
      <c r="E7" s="437"/>
      <c r="F7" s="437"/>
      <c r="G7" s="437"/>
      <c r="H7" s="437"/>
      <c r="I7" s="437"/>
      <c r="J7" s="437"/>
      <c r="K7" s="437"/>
    </row>
    <row r="8" spans="1:11">
      <c r="B8" s="320" t="s">
        <v>258</v>
      </c>
      <c r="C8" s="437"/>
      <c r="D8" s="437"/>
      <c r="E8" s="437"/>
      <c r="F8" s="437"/>
      <c r="G8" s="437"/>
      <c r="H8" s="437"/>
      <c r="I8" s="437"/>
      <c r="J8" s="437"/>
      <c r="K8" s="437"/>
    </row>
    <row r="9" spans="1:11">
      <c r="B9" s="323" t="s">
        <v>259</v>
      </c>
      <c r="C9" s="437"/>
      <c r="D9" s="437"/>
      <c r="E9" s="437"/>
      <c r="F9" s="437"/>
      <c r="G9" s="437"/>
      <c r="H9" s="437"/>
      <c r="I9" s="437"/>
      <c r="J9" s="437"/>
      <c r="K9" s="437"/>
    </row>
    <row r="10" spans="1:11">
      <c r="B10" s="320" t="s">
        <v>260</v>
      </c>
      <c r="C10" s="436"/>
      <c r="D10" s="436"/>
      <c r="E10" s="436"/>
      <c r="F10" s="436"/>
      <c r="G10" s="436"/>
      <c r="H10" s="436"/>
      <c r="I10" s="437"/>
      <c r="J10" s="437"/>
      <c r="K10" s="437"/>
    </row>
    <row r="11" spans="1:11">
      <c r="B11" s="320" t="s">
        <v>261</v>
      </c>
      <c r="C11" s="436"/>
      <c r="D11" s="436"/>
      <c r="E11" s="436"/>
      <c r="F11" s="436"/>
      <c r="G11" s="436"/>
      <c r="H11" s="436"/>
      <c r="I11" s="437"/>
      <c r="J11" s="437"/>
      <c r="K11" s="437"/>
    </row>
    <row r="12" spans="1:11">
      <c r="B12" s="320" t="s">
        <v>262</v>
      </c>
      <c r="C12" s="436"/>
      <c r="D12" s="436"/>
      <c r="E12" s="436"/>
      <c r="F12" s="436"/>
      <c r="G12" s="436"/>
      <c r="H12" s="436"/>
      <c r="I12" s="437"/>
      <c r="J12" s="437"/>
      <c r="K12" s="437"/>
    </row>
    <row r="13" spans="1:11">
      <c r="B13" s="320" t="s">
        <v>263</v>
      </c>
      <c r="C13" s="436"/>
      <c r="D13" s="436"/>
      <c r="E13" s="436"/>
      <c r="F13" s="436"/>
      <c r="G13" s="436"/>
      <c r="H13" s="436"/>
      <c r="I13" s="437"/>
      <c r="J13" s="437"/>
      <c r="K13" s="437"/>
    </row>
    <row r="14" spans="1:11">
      <c r="B14" s="320" t="s">
        <v>288</v>
      </c>
      <c r="C14" s="436"/>
      <c r="D14" s="436"/>
      <c r="E14" s="436"/>
      <c r="F14" s="436"/>
      <c r="G14" s="436"/>
      <c r="H14" s="436"/>
      <c r="I14" s="437"/>
      <c r="J14" s="437"/>
      <c r="K14" s="437"/>
    </row>
    <row r="15" spans="1:11">
      <c r="B15" s="320" t="s">
        <v>265</v>
      </c>
      <c r="C15" s="437"/>
      <c r="D15" s="437"/>
      <c r="E15" s="437"/>
      <c r="F15" s="437"/>
      <c r="G15" s="437"/>
      <c r="H15" s="437"/>
      <c r="I15" s="437"/>
      <c r="J15" s="437"/>
      <c r="K15" s="437"/>
    </row>
    <row r="16" spans="1:11">
      <c r="B16" s="320" t="s">
        <v>266</v>
      </c>
      <c r="C16" s="437"/>
      <c r="D16" s="437"/>
      <c r="E16" s="437"/>
      <c r="F16" s="437"/>
      <c r="G16" s="437"/>
      <c r="H16" s="437"/>
      <c r="I16" s="437"/>
      <c r="J16" s="437"/>
      <c r="K16" s="437"/>
    </row>
    <row r="17" spans="2:11">
      <c r="B17" s="320" t="s">
        <v>267</v>
      </c>
      <c r="C17" s="437"/>
      <c r="D17" s="437"/>
      <c r="E17" s="437"/>
      <c r="F17" s="437"/>
      <c r="G17" s="437"/>
      <c r="H17" s="437"/>
      <c r="I17" s="437"/>
      <c r="J17" s="437"/>
      <c r="K17" s="437"/>
    </row>
    <row r="18" spans="2:11" ht="15.75" thickBot="1">
      <c r="B18" s="320" t="s">
        <v>268</v>
      </c>
      <c r="C18" s="437"/>
      <c r="D18" s="437"/>
      <c r="E18" s="437"/>
      <c r="F18" s="437"/>
      <c r="G18" s="437"/>
      <c r="H18" s="437"/>
      <c r="I18" s="437"/>
      <c r="J18" s="437"/>
      <c r="K18" s="437"/>
    </row>
    <row r="19" spans="2:11" ht="15.75" thickBot="1">
      <c r="B19" s="353" t="s">
        <v>289</v>
      </c>
      <c r="C19" s="438">
        <f t="shared" ref="C19:H19" si="0">SUM(C10:C18)</f>
        <v>0</v>
      </c>
      <c r="D19" s="439">
        <f t="shared" si="0"/>
        <v>0</v>
      </c>
      <c r="E19" s="439">
        <f t="shared" si="0"/>
        <v>0</v>
      </c>
      <c r="F19" s="439">
        <f t="shared" si="0"/>
        <v>0</v>
      </c>
      <c r="G19" s="439">
        <f t="shared" si="0"/>
        <v>0</v>
      </c>
      <c r="H19" s="439">
        <f t="shared" si="0"/>
        <v>0</v>
      </c>
      <c r="I19" s="440">
        <f t="shared" ref="I19" si="1">SUM(C19:H19)</f>
        <v>0</v>
      </c>
      <c r="J19" s="440">
        <f>SUM(J10:J18)</f>
        <v>0</v>
      </c>
      <c r="K19" s="440">
        <f>IFERROR(J19/I19,0)</f>
        <v>0</v>
      </c>
    </row>
    <row r="21" spans="2:11">
      <c r="B21" s="443"/>
    </row>
    <row r="26" spans="2:11" ht="30">
      <c r="B26" s="1" t="s">
        <v>56</v>
      </c>
      <c r="C26" s="2" t="s">
        <v>278</v>
      </c>
      <c r="D26" s="2" t="s">
        <v>279</v>
      </c>
      <c r="E26" s="2" t="s">
        <v>280</v>
      </c>
      <c r="F26" s="2" t="s">
        <v>281</v>
      </c>
      <c r="G26" s="2" t="s">
        <v>282</v>
      </c>
      <c r="H26" s="2" t="s">
        <v>283</v>
      </c>
      <c r="I26" s="2" t="s">
        <v>284</v>
      </c>
      <c r="J26" s="442" t="s">
        <v>285</v>
      </c>
      <c r="K26" s="442" t="s">
        <v>286</v>
      </c>
    </row>
    <row r="27" spans="2:11">
      <c r="B27" s="320" t="s">
        <v>257</v>
      </c>
      <c r="C27" s="437"/>
      <c r="D27" s="437"/>
      <c r="E27" s="437"/>
      <c r="F27" s="437"/>
      <c r="G27" s="437"/>
      <c r="H27" s="437"/>
      <c r="I27" s="437">
        <f>SUM(C27:H27)</f>
        <v>0</v>
      </c>
      <c r="J27" s="437"/>
      <c r="K27" s="437"/>
    </row>
    <row r="28" spans="2:11">
      <c r="B28" s="320" t="s">
        <v>258</v>
      </c>
      <c r="C28" s="437"/>
      <c r="D28" s="437"/>
      <c r="E28" s="437"/>
      <c r="F28" s="437"/>
      <c r="G28" s="437"/>
      <c r="H28" s="437"/>
      <c r="I28" s="437">
        <f>SUM(C28:H28)</f>
        <v>0</v>
      </c>
      <c r="J28" s="437"/>
      <c r="K28" s="437"/>
    </row>
    <row r="29" spans="2:11">
      <c r="B29" s="323" t="s">
        <v>259</v>
      </c>
      <c r="C29" s="437"/>
      <c r="D29" s="437"/>
      <c r="E29" s="437"/>
      <c r="F29" s="437"/>
      <c r="G29" s="437"/>
      <c r="H29" s="437"/>
      <c r="I29" s="437">
        <f>SUM(C29:H29)</f>
        <v>0</v>
      </c>
      <c r="J29" s="437"/>
      <c r="K29" s="437"/>
    </row>
    <row r="30" spans="2:11">
      <c r="B30" s="320" t="s">
        <v>260</v>
      </c>
      <c r="C30" s="436">
        <v>0</v>
      </c>
      <c r="D30" s="436">
        <v>0</v>
      </c>
      <c r="E30" s="436">
        <v>0</v>
      </c>
      <c r="F30" s="436">
        <v>0</v>
      </c>
      <c r="G30" s="436">
        <v>0</v>
      </c>
      <c r="H30" s="436">
        <v>0</v>
      </c>
      <c r="I30" s="436">
        <f>SUM(C30:H30)</f>
        <v>0</v>
      </c>
      <c r="J30" s="436">
        <v>0</v>
      </c>
      <c r="K30" s="436"/>
    </row>
    <row r="31" spans="2:11">
      <c r="B31" s="320" t="s">
        <v>261</v>
      </c>
      <c r="C31" s="436">
        <v>0</v>
      </c>
      <c r="D31" s="436">
        <v>0</v>
      </c>
      <c r="E31" s="436">
        <v>0</v>
      </c>
      <c r="F31" s="436">
        <v>0</v>
      </c>
      <c r="G31" s="436">
        <v>0</v>
      </c>
      <c r="H31" s="436">
        <v>0</v>
      </c>
      <c r="I31" s="437">
        <f t="shared" ref="I31:I39" si="2">SUM(C31:H31)</f>
        <v>0</v>
      </c>
      <c r="J31" s="437">
        <v>0</v>
      </c>
      <c r="K31" s="437"/>
    </row>
    <row r="32" spans="2:11">
      <c r="B32" s="320" t="s">
        <v>262</v>
      </c>
      <c r="C32" s="436">
        <v>0</v>
      </c>
      <c r="D32" s="436">
        <v>0</v>
      </c>
      <c r="E32" s="436">
        <v>0</v>
      </c>
      <c r="F32" s="436">
        <v>0</v>
      </c>
      <c r="G32" s="436">
        <v>0</v>
      </c>
      <c r="H32" s="436">
        <v>0</v>
      </c>
      <c r="I32" s="437">
        <f t="shared" si="2"/>
        <v>0</v>
      </c>
      <c r="J32" s="437">
        <v>0</v>
      </c>
      <c r="K32" s="437"/>
    </row>
    <row r="33" spans="2:11">
      <c r="B33" s="320" t="s">
        <v>263</v>
      </c>
      <c r="C33" s="436">
        <v>0</v>
      </c>
      <c r="D33" s="436">
        <v>0</v>
      </c>
      <c r="E33" s="436">
        <v>0</v>
      </c>
      <c r="F33" s="436">
        <v>0</v>
      </c>
      <c r="G33" s="436">
        <v>0</v>
      </c>
      <c r="H33" s="436">
        <v>0</v>
      </c>
      <c r="I33" s="437">
        <f t="shared" si="2"/>
        <v>0</v>
      </c>
      <c r="J33" s="437">
        <v>0</v>
      </c>
      <c r="K33" s="437"/>
    </row>
    <row r="34" spans="2:11">
      <c r="B34" s="320" t="s">
        <v>290</v>
      </c>
      <c r="C34" s="436">
        <v>17</v>
      </c>
      <c r="D34" s="436">
        <v>1</v>
      </c>
      <c r="E34" s="436">
        <v>1</v>
      </c>
      <c r="F34" s="436">
        <v>2.5</v>
      </c>
      <c r="G34" s="436">
        <v>1</v>
      </c>
      <c r="H34" s="436">
        <v>1</v>
      </c>
      <c r="I34" s="437">
        <f t="shared" si="2"/>
        <v>23.5</v>
      </c>
      <c r="J34" s="437">
        <v>96.35</v>
      </c>
      <c r="K34" s="437">
        <f>J34/I34</f>
        <v>4.0999999999999996</v>
      </c>
    </row>
    <row r="35" spans="2:11">
      <c r="B35" s="320" t="s">
        <v>265</v>
      </c>
      <c r="C35" s="437"/>
      <c r="D35" s="437"/>
      <c r="E35" s="437"/>
      <c r="F35" s="437"/>
      <c r="G35" s="437"/>
      <c r="H35" s="437"/>
      <c r="I35" s="437">
        <f t="shared" si="2"/>
        <v>0</v>
      </c>
      <c r="J35" s="437"/>
      <c r="K35" s="437"/>
    </row>
    <row r="36" spans="2:11">
      <c r="B36" s="320" t="s">
        <v>266</v>
      </c>
      <c r="C36" s="437"/>
      <c r="D36" s="437"/>
      <c r="E36" s="437"/>
      <c r="F36" s="437"/>
      <c r="G36" s="437"/>
      <c r="H36" s="437"/>
      <c r="I36" s="437">
        <f t="shared" si="2"/>
        <v>0</v>
      </c>
      <c r="J36" s="437"/>
      <c r="K36" s="437"/>
    </row>
    <row r="37" spans="2:11">
      <c r="B37" s="320" t="s">
        <v>267</v>
      </c>
      <c r="C37" s="437"/>
      <c r="D37" s="437"/>
      <c r="E37" s="437"/>
      <c r="F37" s="437"/>
      <c r="G37" s="437"/>
      <c r="H37" s="437"/>
      <c r="I37" s="437">
        <f t="shared" si="2"/>
        <v>0</v>
      </c>
      <c r="J37" s="437"/>
      <c r="K37" s="437"/>
    </row>
    <row r="38" spans="2:11" ht="15.75" thickBot="1">
      <c r="B38" s="320" t="s">
        <v>268</v>
      </c>
      <c r="C38" s="437">
        <v>13</v>
      </c>
      <c r="D38" s="437"/>
      <c r="E38" s="437"/>
      <c r="F38" s="437">
        <v>9</v>
      </c>
      <c r="G38" s="437">
        <v>1</v>
      </c>
      <c r="H38" s="437">
        <v>1</v>
      </c>
      <c r="I38" s="437">
        <v>24</v>
      </c>
      <c r="J38" s="437">
        <v>46.35</v>
      </c>
      <c r="K38" s="437">
        <v>1.9312500000000001</v>
      </c>
    </row>
    <row r="39" spans="2:11" ht="15.75" thickBot="1">
      <c r="B39" s="353" t="s">
        <v>289</v>
      </c>
      <c r="C39" s="438">
        <f t="shared" ref="C39:H39" si="3">SUM(C30:C38)</f>
        <v>30</v>
      </c>
      <c r="D39" s="439">
        <f t="shared" si="3"/>
        <v>1</v>
      </c>
      <c r="E39" s="439">
        <f t="shared" si="3"/>
        <v>1</v>
      </c>
      <c r="F39" s="439">
        <f t="shared" si="3"/>
        <v>11.5</v>
      </c>
      <c r="G39" s="439">
        <f t="shared" si="3"/>
        <v>2</v>
      </c>
      <c r="H39" s="439">
        <f t="shared" si="3"/>
        <v>2</v>
      </c>
      <c r="I39" s="440">
        <f t="shared" si="2"/>
        <v>47.5</v>
      </c>
      <c r="J39" s="440">
        <f>SUM(J30:J38)</f>
        <v>142.69999999999999</v>
      </c>
      <c r="K39" s="440">
        <f>J39/I39</f>
        <v>3.0042105263157892</v>
      </c>
    </row>
  </sheetData>
  <mergeCells count="2">
    <mergeCell ref="A1:A3"/>
    <mergeCell ref="B1:I3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7511-B610-4FF0-8B8F-B8CD3DCED5AC}">
  <sheetPr>
    <tabColor rgb="FF00B050"/>
    <pageSetUpPr fitToPage="1"/>
  </sheetPr>
  <dimension ref="A1:L35"/>
  <sheetViews>
    <sheetView showGridLines="0" zoomScale="85" zoomScaleNormal="85" workbookViewId="0">
      <pane ySplit="3" topLeftCell="A4" activePane="bottomLeft" state="frozen"/>
      <selection pane="bottomLeft" activeCell="K40" sqref="K40"/>
      <selection activeCell="H34" sqref="H34"/>
    </sheetView>
  </sheetViews>
  <sheetFormatPr defaultColWidth="11.42578125" defaultRowHeight="15" outlineLevelRow="1"/>
  <cols>
    <col min="1" max="1" width="15.28515625" customWidth="1"/>
    <col min="2" max="2" width="26.140625" customWidth="1"/>
    <col min="3" max="5" width="15.140625" customWidth="1"/>
    <col min="6" max="6" width="3.140625" customWidth="1"/>
    <col min="7" max="9" width="15.140625" customWidth="1"/>
    <col min="10" max="10" width="3.140625" customWidth="1"/>
    <col min="245" max="245" width="18.140625" customWidth="1"/>
    <col min="246" max="246" width="46.140625" customWidth="1"/>
    <col min="247" max="247" width="10" customWidth="1"/>
    <col min="248" max="248" width="12.42578125" customWidth="1"/>
    <col min="249" max="249" width="16.140625" customWidth="1"/>
    <col min="250" max="250" width="25.28515625" customWidth="1"/>
    <col min="251" max="252" width="13.7109375" customWidth="1"/>
    <col min="253" max="253" width="12.140625" customWidth="1"/>
    <col min="254" max="254" width="9.7109375" customWidth="1"/>
    <col min="255" max="257" width="12.140625" customWidth="1"/>
    <col min="258" max="258" width="0" hidden="1" customWidth="1"/>
    <col min="259" max="264" width="12.140625" customWidth="1"/>
    <col min="501" max="501" width="18.140625" customWidth="1"/>
    <col min="502" max="502" width="46.140625" customWidth="1"/>
    <col min="503" max="503" width="10" customWidth="1"/>
    <col min="504" max="504" width="12.42578125" customWidth="1"/>
    <col min="505" max="505" width="16.140625" customWidth="1"/>
    <col min="506" max="506" width="25.28515625" customWidth="1"/>
    <col min="507" max="508" width="13.7109375" customWidth="1"/>
    <col min="509" max="509" width="12.140625" customWidth="1"/>
    <col min="510" max="510" width="9.7109375" customWidth="1"/>
    <col min="511" max="513" width="12.140625" customWidth="1"/>
    <col min="514" max="514" width="0" hidden="1" customWidth="1"/>
    <col min="515" max="520" width="12.140625" customWidth="1"/>
    <col min="757" max="757" width="18.140625" customWidth="1"/>
    <col min="758" max="758" width="46.140625" customWidth="1"/>
    <col min="759" max="759" width="10" customWidth="1"/>
    <col min="760" max="760" width="12.42578125" customWidth="1"/>
    <col min="761" max="761" width="16.140625" customWidth="1"/>
    <col min="762" max="762" width="25.28515625" customWidth="1"/>
    <col min="763" max="764" width="13.7109375" customWidth="1"/>
    <col min="765" max="765" width="12.140625" customWidth="1"/>
    <col min="766" max="766" width="9.7109375" customWidth="1"/>
    <col min="767" max="769" width="12.140625" customWidth="1"/>
    <col min="770" max="770" width="0" hidden="1" customWidth="1"/>
    <col min="771" max="776" width="12.140625" customWidth="1"/>
    <col min="1013" max="1013" width="18.140625" customWidth="1"/>
    <col min="1014" max="1014" width="46.140625" customWidth="1"/>
    <col min="1015" max="1015" width="10" customWidth="1"/>
    <col min="1016" max="1016" width="12.42578125" customWidth="1"/>
    <col min="1017" max="1017" width="16.140625" customWidth="1"/>
    <col min="1018" max="1018" width="25.28515625" customWidth="1"/>
    <col min="1019" max="1020" width="13.7109375" customWidth="1"/>
    <col min="1021" max="1021" width="12.140625" customWidth="1"/>
    <col min="1022" max="1022" width="9.7109375" customWidth="1"/>
    <col min="1023" max="1025" width="12.140625" customWidth="1"/>
    <col min="1026" max="1026" width="0" hidden="1" customWidth="1"/>
    <col min="1027" max="1032" width="12.140625" customWidth="1"/>
    <col min="1269" max="1269" width="18.140625" customWidth="1"/>
    <col min="1270" max="1270" width="46.140625" customWidth="1"/>
    <col min="1271" max="1271" width="10" customWidth="1"/>
    <col min="1272" max="1272" width="12.42578125" customWidth="1"/>
    <col min="1273" max="1273" width="16.140625" customWidth="1"/>
    <col min="1274" max="1274" width="25.28515625" customWidth="1"/>
    <col min="1275" max="1276" width="13.7109375" customWidth="1"/>
    <col min="1277" max="1277" width="12.140625" customWidth="1"/>
    <col min="1278" max="1278" width="9.7109375" customWidth="1"/>
    <col min="1279" max="1281" width="12.140625" customWidth="1"/>
    <col min="1282" max="1282" width="0" hidden="1" customWidth="1"/>
    <col min="1283" max="1288" width="12.140625" customWidth="1"/>
    <col min="1525" max="1525" width="18.140625" customWidth="1"/>
    <col min="1526" max="1526" width="46.140625" customWidth="1"/>
    <col min="1527" max="1527" width="10" customWidth="1"/>
    <col min="1528" max="1528" width="12.42578125" customWidth="1"/>
    <col min="1529" max="1529" width="16.140625" customWidth="1"/>
    <col min="1530" max="1530" width="25.28515625" customWidth="1"/>
    <col min="1531" max="1532" width="13.7109375" customWidth="1"/>
    <col min="1533" max="1533" width="12.140625" customWidth="1"/>
    <col min="1534" max="1534" width="9.7109375" customWidth="1"/>
    <col min="1535" max="1537" width="12.140625" customWidth="1"/>
    <col min="1538" max="1538" width="0" hidden="1" customWidth="1"/>
    <col min="1539" max="1544" width="12.140625" customWidth="1"/>
    <col min="1781" max="1781" width="18.140625" customWidth="1"/>
    <col min="1782" max="1782" width="46.140625" customWidth="1"/>
    <col min="1783" max="1783" width="10" customWidth="1"/>
    <col min="1784" max="1784" width="12.42578125" customWidth="1"/>
    <col min="1785" max="1785" width="16.140625" customWidth="1"/>
    <col min="1786" max="1786" width="25.28515625" customWidth="1"/>
    <col min="1787" max="1788" width="13.7109375" customWidth="1"/>
    <col min="1789" max="1789" width="12.140625" customWidth="1"/>
    <col min="1790" max="1790" width="9.7109375" customWidth="1"/>
    <col min="1791" max="1793" width="12.140625" customWidth="1"/>
    <col min="1794" max="1794" width="0" hidden="1" customWidth="1"/>
    <col min="1795" max="1800" width="12.140625" customWidth="1"/>
    <col min="2037" max="2037" width="18.140625" customWidth="1"/>
    <col min="2038" max="2038" width="46.140625" customWidth="1"/>
    <col min="2039" max="2039" width="10" customWidth="1"/>
    <col min="2040" max="2040" width="12.42578125" customWidth="1"/>
    <col min="2041" max="2041" width="16.140625" customWidth="1"/>
    <col min="2042" max="2042" width="25.28515625" customWidth="1"/>
    <col min="2043" max="2044" width="13.7109375" customWidth="1"/>
    <col min="2045" max="2045" width="12.140625" customWidth="1"/>
    <col min="2046" max="2046" width="9.7109375" customWidth="1"/>
    <col min="2047" max="2049" width="12.140625" customWidth="1"/>
    <col min="2050" max="2050" width="0" hidden="1" customWidth="1"/>
    <col min="2051" max="2056" width="12.140625" customWidth="1"/>
    <col min="2293" max="2293" width="18.140625" customWidth="1"/>
    <col min="2294" max="2294" width="46.140625" customWidth="1"/>
    <col min="2295" max="2295" width="10" customWidth="1"/>
    <col min="2296" max="2296" width="12.42578125" customWidth="1"/>
    <col min="2297" max="2297" width="16.140625" customWidth="1"/>
    <col min="2298" max="2298" width="25.28515625" customWidth="1"/>
    <col min="2299" max="2300" width="13.7109375" customWidth="1"/>
    <col min="2301" max="2301" width="12.140625" customWidth="1"/>
    <col min="2302" max="2302" width="9.7109375" customWidth="1"/>
    <col min="2303" max="2305" width="12.140625" customWidth="1"/>
    <col min="2306" max="2306" width="0" hidden="1" customWidth="1"/>
    <col min="2307" max="2312" width="12.140625" customWidth="1"/>
    <col min="2549" max="2549" width="18.140625" customWidth="1"/>
    <col min="2550" max="2550" width="46.140625" customWidth="1"/>
    <col min="2551" max="2551" width="10" customWidth="1"/>
    <col min="2552" max="2552" width="12.42578125" customWidth="1"/>
    <col min="2553" max="2553" width="16.140625" customWidth="1"/>
    <col min="2554" max="2554" width="25.28515625" customWidth="1"/>
    <col min="2555" max="2556" width="13.7109375" customWidth="1"/>
    <col min="2557" max="2557" width="12.140625" customWidth="1"/>
    <col min="2558" max="2558" width="9.7109375" customWidth="1"/>
    <col min="2559" max="2561" width="12.140625" customWidth="1"/>
    <col min="2562" max="2562" width="0" hidden="1" customWidth="1"/>
    <col min="2563" max="2568" width="12.140625" customWidth="1"/>
    <col min="2805" max="2805" width="18.140625" customWidth="1"/>
    <col min="2806" max="2806" width="46.140625" customWidth="1"/>
    <col min="2807" max="2807" width="10" customWidth="1"/>
    <col min="2808" max="2808" width="12.42578125" customWidth="1"/>
    <col min="2809" max="2809" width="16.140625" customWidth="1"/>
    <col min="2810" max="2810" width="25.28515625" customWidth="1"/>
    <col min="2811" max="2812" width="13.7109375" customWidth="1"/>
    <col min="2813" max="2813" width="12.140625" customWidth="1"/>
    <col min="2814" max="2814" width="9.7109375" customWidth="1"/>
    <col min="2815" max="2817" width="12.140625" customWidth="1"/>
    <col min="2818" max="2818" width="0" hidden="1" customWidth="1"/>
    <col min="2819" max="2824" width="12.140625" customWidth="1"/>
    <col min="3061" max="3061" width="18.140625" customWidth="1"/>
    <col min="3062" max="3062" width="46.140625" customWidth="1"/>
    <col min="3063" max="3063" width="10" customWidth="1"/>
    <col min="3064" max="3064" width="12.42578125" customWidth="1"/>
    <col min="3065" max="3065" width="16.140625" customWidth="1"/>
    <col min="3066" max="3066" width="25.28515625" customWidth="1"/>
    <col min="3067" max="3068" width="13.7109375" customWidth="1"/>
    <col min="3069" max="3069" width="12.140625" customWidth="1"/>
    <col min="3070" max="3070" width="9.7109375" customWidth="1"/>
    <col min="3071" max="3073" width="12.140625" customWidth="1"/>
    <col min="3074" max="3074" width="0" hidden="1" customWidth="1"/>
    <col min="3075" max="3080" width="12.140625" customWidth="1"/>
    <col min="3317" max="3317" width="18.140625" customWidth="1"/>
    <col min="3318" max="3318" width="46.140625" customWidth="1"/>
    <col min="3319" max="3319" width="10" customWidth="1"/>
    <col min="3320" max="3320" width="12.42578125" customWidth="1"/>
    <col min="3321" max="3321" width="16.140625" customWidth="1"/>
    <col min="3322" max="3322" width="25.28515625" customWidth="1"/>
    <col min="3323" max="3324" width="13.7109375" customWidth="1"/>
    <col min="3325" max="3325" width="12.140625" customWidth="1"/>
    <col min="3326" max="3326" width="9.7109375" customWidth="1"/>
    <col min="3327" max="3329" width="12.140625" customWidth="1"/>
    <col min="3330" max="3330" width="0" hidden="1" customWidth="1"/>
    <col min="3331" max="3336" width="12.140625" customWidth="1"/>
    <col min="3573" max="3573" width="18.140625" customWidth="1"/>
    <col min="3574" max="3574" width="46.140625" customWidth="1"/>
    <col min="3575" max="3575" width="10" customWidth="1"/>
    <col min="3576" max="3576" width="12.42578125" customWidth="1"/>
    <col min="3577" max="3577" width="16.140625" customWidth="1"/>
    <col min="3578" max="3578" width="25.28515625" customWidth="1"/>
    <col min="3579" max="3580" width="13.7109375" customWidth="1"/>
    <col min="3581" max="3581" width="12.140625" customWidth="1"/>
    <col min="3582" max="3582" width="9.7109375" customWidth="1"/>
    <col min="3583" max="3585" width="12.140625" customWidth="1"/>
    <col min="3586" max="3586" width="0" hidden="1" customWidth="1"/>
    <col min="3587" max="3592" width="12.140625" customWidth="1"/>
    <col min="3829" max="3829" width="18.140625" customWidth="1"/>
    <col min="3830" max="3830" width="46.140625" customWidth="1"/>
    <col min="3831" max="3831" width="10" customWidth="1"/>
    <col min="3832" max="3832" width="12.42578125" customWidth="1"/>
    <col min="3833" max="3833" width="16.140625" customWidth="1"/>
    <col min="3834" max="3834" width="25.28515625" customWidth="1"/>
    <col min="3835" max="3836" width="13.7109375" customWidth="1"/>
    <col min="3837" max="3837" width="12.140625" customWidth="1"/>
    <col min="3838" max="3838" width="9.7109375" customWidth="1"/>
    <col min="3839" max="3841" width="12.140625" customWidth="1"/>
    <col min="3842" max="3842" width="0" hidden="1" customWidth="1"/>
    <col min="3843" max="3848" width="12.140625" customWidth="1"/>
    <col min="4085" max="4085" width="18.140625" customWidth="1"/>
    <col min="4086" max="4086" width="46.140625" customWidth="1"/>
    <col min="4087" max="4087" width="10" customWidth="1"/>
    <col min="4088" max="4088" width="12.42578125" customWidth="1"/>
    <col min="4089" max="4089" width="16.140625" customWidth="1"/>
    <col min="4090" max="4090" width="25.28515625" customWidth="1"/>
    <col min="4091" max="4092" width="13.7109375" customWidth="1"/>
    <col min="4093" max="4093" width="12.140625" customWidth="1"/>
    <col min="4094" max="4094" width="9.7109375" customWidth="1"/>
    <col min="4095" max="4097" width="12.140625" customWidth="1"/>
    <col min="4098" max="4098" width="0" hidden="1" customWidth="1"/>
    <col min="4099" max="4104" width="12.140625" customWidth="1"/>
    <col min="4341" max="4341" width="18.140625" customWidth="1"/>
    <col min="4342" max="4342" width="46.140625" customWidth="1"/>
    <col min="4343" max="4343" width="10" customWidth="1"/>
    <col min="4344" max="4344" width="12.42578125" customWidth="1"/>
    <col min="4345" max="4345" width="16.140625" customWidth="1"/>
    <col min="4346" max="4346" width="25.28515625" customWidth="1"/>
    <col min="4347" max="4348" width="13.7109375" customWidth="1"/>
    <col min="4349" max="4349" width="12.140625" customWidth="1"/>
    <col min="4350" max="4350" width="9.7109375" customWidth="1"/>
    <col min="4351" max="4353" width="12.140625" customWidth="1"/>
    <col min="4354" max="4354" width="0" hidden="1" customWidth="1"/>
    <col min="4355" max="4360" width="12.140625" customWidth="1"/>
    <col min="4597" max="4597" width="18.140625" customWidth="1"/>
    <col min="4598" max="4598" width="46.140625" customWidth="1"/>
    <col min="4599" max="4599" width="10" customWidth="1"/>
    <col min="4600" max="4600" width="12.42578125" customWidth="1"/>
    <col min="4601" max="4601" width="16.140625" customWidth="1"/>
    <col min="4602" max="4602" width="25.28515625" customWidth="1"/>
    <col min="4603" max="4604" width="13.7109375" customWidth="1"/>
    <col min="4605" max="4605" width="12.140625" customWidth="1"/>
    <col min="4606" max="4606" width="9.7109375" customWidth="1"/>
    <col min="4607" max="4609" width="12.140625" customWidth="1"/>
    <col min="4610" max="4610" width="0" hidden="1" customWidth="1"/>
    <col min="4611" max="4616" width="12.140625" customWidth="1"/>
    <col min="4853" max="4853" width="18.140625" customWidth="1"/>
    <col min="4854" max="4854" width="46.140625" customWidth="1"/>
    <col min="4855" max="4855" width="10" customWidth="1"/>
    <col min="4856" max="4856" width="12.42578125" customWidth="1"/>
    <col min="4857" max="4857" width="16.140625" customWidth="1"/>
    <col min="4858" max="4858" width="25.28515625" customWidth="1"/>
    <col min="4859" max="4860" width="13.7109375" customWidth="1"/>
    <col min="4861" max="4861" width="12.140625" customWidth="1"/>
    <col min="4862" max="4862" width="9.7109375" customWidth="1"/>
    <col min="4863" max="4865" width="12.140625" customWidth="1"/>
    <col min="4866" max="4866" width="0" hidden="1" customWidth="1"/>
    <col min="4867" max="4872" width="12.140625" customWidth="1"/>
    <col min="5109" max="5109" width="18.140625" customWidth="1"/>
    <col min="5110" max="5110" width="46.140625" customWidth="1"/>
    <col min="5111" max="5111" width="10" customWidth="1"/>
    <col min="5112" max="5112" width="12.42578125" customWidth="1"/>
    <col min="5113" max="5113" width="16.140625" customWidth="1"/>
    <col min="5114" max="5114" width="25.28515625" customWidth="1"/>
    <col min="5115" max="5116" width="13.7109375" customWidth="1"/>
    <col min="5117" max="5117" width="12.140625" customWidth="1"/>
    <col min="5118" max="5118" width="9.7109375" customWidth="1"/>
    <col min="5119" max="5121" width="12.140625" customWidth="1"/>
    <col min="5122" max="5122" width="0" hidden="1" customWidth="1"/>
    <col min="5123" max="5128" width="12.140625" customWidth="1"/>
    <col min="5365" max="5365" width="18.140625" customWidth="1"/>
    <col min="5366" max="5366" width="46.140625" customWidth="1"/>
    <col min="5367" max="5367" width="10" customWidth="1"/>
    <col min="5368" max="5368" width="12.42578125" customWidth="1"/>
    <col min="5369" max="5369" width="16.140625" customWidth="1"/>
    <col min="5370" max="5370" width="25.28515625" customWidth="1"/>
    <col min="5371" max="5372" width="13.7109375" customWidth="1"/>
    <col min="5373" max="5373" width="12.140625" customWidth="1"/>
    <col min="5374" max="5374" width="9.7109375" customWidth="1"/>
    <col min="5375" max="5377" width="12.140625" customWidth="1"/>
    <col min="5378" max="5378" width="0" hidden="1" customWidth="1"/>
    <col min="5379" max="5384" width="12.140625" customWidth="1"/>
    <col min="5621" max="5621" width="18.140625" customWidth="1"/>
    <col min="5622" max="5622" width="46.140625" customWidth="1"/>
    <col min="5623" max="5623" width="10" customWidth="1"/>
    <col min="5624" max="5624" width="12.42578125" customWidth="1"/>
    <col min="5625" max="5625" width="16.140625" customWidth="1"/>
    <col min="5626" max="5626" width="25.28515625" customWidth="1"/>
    <col min="5627" max="5628" width="13.7109375" customWidth="1"/>
    <col min="5629" max="5629" width="12.140625" customWidth="1"/>
    <col min="5630" max="5630" width="9.7109375" customWidth="1"/>
    <col min="5631" max="5633" width="12.140625" customWidth="1"/>
    <col min="5634" max="5634" width="0" hidden="1" customWidth="1"/>
    <col min="5635" max="5640" width="12.140625" customWidth="1"/>
    <col min="5877" max="5877" width="18.140625" customWidth="1"/>
    <col min="5878" max="5878" width="46.140625" customWidth="1"/>
    <col min="5879" max="5879" width="10" customWidth="1"/>
    <col min="5880" max="5880" width="12.42578125" customWidth="1"/>
    <col min="5881" max="5881" width="16.140625" customWidth="1"/>
    <col min="5882" max="5882" width="25.28515625" customWidth="1"/>
    <col min="5883" max="5884" width="13.7109375" customWidth="1"/>
    <col min="5885" max="5885" width="12.140625" customWidth="1"/>
    <col min="5886" max="5886" width="9.7109375" customWidth="1"/>
    <col min="5887" max="5889" width="12.140625" customWidth="1"/>
    <col min="5890" max="5890" width="0" hidden="1" customWidth="1"/>
    <col min="5891" max="5896" width="12.140625" customWidth="1"/>
    <col min="6133" max="6133" width="18.140625" customWidth="1"/>
    <col min="6134" max="6134" width="46.140625" customWidth="1"/>
    <col min="6135" max="6135" width="10" customWidth="1"/>
    <col min="6136" max="6136" width="12.42578125" customWidth="1"/>
    <col min="6137" max="6137" width="16.140625" customWidth="1"/>
    <col min="6138" max="6138" width="25.28515625" customWidth="1"/>
    <col min="6139" max="6140" width="13.7109375" customWidth="1"/>
    <col min="6141" max="6141" width="12.140625" customWidth="1"/>
    <col min="6142" max="6142" width="9.7109375" customWidth="1"/>
    <col min="6143" max="6145" width="12.140625" customWidth="1"/>
    <col min="6146" max="6146" width="0" hidden="1" customWidth="1"/>
    <col min="6147" max="6152" width="12.140625" customWidth="1"/>
    <col min="6389" max="6389" width="18.140625" customWidth="1"/>
    <col min="6390" max="6390" width="46.140625" customWidth="1"/>
    <col min="6391" max="6391" width="10" customWidth="1"/>
    <col min="6392" max="6392" width="12.42578125" customWidth="1"/>
    <col min="6393" max="6393" width="16.140625" customWidth="1"/>
    <col min="6394" max="6394" width="25.28515625" customWidth="1"/>
    <col min="6395" max="6396" width="13.7109375" customWidth="1"/>
    <col min="6397" max="6397" width="12.140625" customWidth="1"/>
    <col min="6398" max="6398" width="9.7109375" customWidth="1"/>
    <col min="6399" max="6401" width="12.140625" customWidth="1"/>
    <col min="6402" max="6402" width="0" hidden="1" customWidth="1"/>
    <col min="6403" max="6408" width="12.140625" customWidth="1"/>
    <col min="6645" max="6645" width="18.140625" customWidth="1"/>
    <col min="6646" max="6646" width="46.140625" customWidth="1"/>
    <col min="6647" max="6647" width="10" customWidth="1"/>
    <col min="6648" max="6648" width="12.42578125" customWidth="1"/>
    <col min="6649" max="6649" width="16.140625" customWidth="1"/>
    <col min="6650" max="6650" width="25.28515625" customWidth="1"/>
    <col min="6651" max="6652" width="13.7109375" customWidth="1"/>
    <col min="6653" max="6653" width="12.140625" customWidth="1"/>
    <col min="6654" max="6654" width="9.7109375" customWidth="1"/>
    <col min="6655" max="6657" width="12.140625" customWidth="1"/>
    <col min="6658" max="6658" width="0" hidden="1" customWidth="1"/>
    <col min="6659" max="6664" width="12.140625" customWidth="1"/>
    <col min="6901" max="6901" width="18.140625" customWidth="1"/>
    <col min="6902" max="6902" width="46.140625" customWidth="1"/>
    <col min="6903" max="6903" width="10" customWidth="1"/>
    <col min="6904" max="6904" width="12.42578125" customWidth="1"/>
    <col min="6905" max="6905" width="16.140625" customWidth="1"/>
    <col min="6906" max="6906" width="25.28515625" customWidth="1"/>
    <col min="6907" max="6908" width="13.7109375" customWidth="1"/>
    <col min="6909" max="6909" width="12.140625" customWidth="1"/>
    <col min="6910" max="6910" width="9.7109375" customWidth="1"/>
    <col min="6911" max="6913" width="12.140625" customWidth="1"/>
    <col min="6914" max="6914" width="0" hidden="1" customWidth="1"/>
    <col min="6915" max="6920" width="12.140625" customWidth="1"/>
    <col min="7157" max="7157" width="18.140625" customWidth="1"/>
    <col min="7158" max="7158" width="46.140625" customWidth="1"/>
    <col min="7159" max="7159" width="10" customWidth="1"/>
    <col min="7160" max="7160" width="12.42578125" customWidth="1"/>
    <col min="7161" max="7161" width="16.140625" customWidth="1"/>
    <col min="7162" max="7162" width="25.28515625" customWidth="1"/>
    <col min="7163" max="7164" width="13.7109375" customWidth="1"/>
    <col min="7165" max="7165" width="12.140625" customWidth="1"/>
    <col min="7166" max="7166" width="9.7109375" customWidth="1"/>
    <col min="7167" max="7169" width="12.140625" customWidth="1"/>
    <col min="7170" max="7170" width="0" hidden="1" customWidth="1"/>
    <col min="7171" max="7176" width="12.140625" customWidth="1"/>
    <col min="7413" max="7413" width="18.140625" customWidth="1"/>
    <col min="7414" max="7414" width="46.140625" customWidth="1"/>
    <col min="7415" max="7415" width="10" customWidth="1"/>
    <col min="7416" max="7416" width="12.42578125" customWidth="1"/>
    <col min="7417" max="7417" width="16.140625" customWidth="1"/>
    <col min="7418" max="7418" width="25.28515625" customWidth="1"/>
    <col min="7419" max="7420" width="13.7109375" customWidth="1"/>
    <col min="7421" max="7421" width="12.140625" customWidth="1"/>
    <col min="7422" max="7422" width="9.7109375" customWidth="1"/>
    <col min="7423" max="7425" width="12.140625" customWidth="1"/>
    <col min="7426" max="7426" width="0" hidden="1" customWidth="1"/>
    <col min="7427" max="7432" width="12.140625" customWidth="1"/>
    <col min="7669" max="7669" width="18.140625" customWidth="1"/>
    <col min="7670" max="7670" width="46.140625" customWidth="1"/>
    <col min="7671" max="7671" width="10" customWidth="1"/>
    <col min="7672" max="7672" width="12.42578125" customWidth="1"/>
    <col min="7673" max="7673" width="16.140625" customWidth="1"/>
    <col min="7674" max="7674" width="25.28515625" customWidth="1"/>
    <col min="7675" max="7676" width="13.7109375" customWidth="1"/>
    <col min="7677" max="7677" width="12.140625" customWidth="1"/>
    <col min="7678" max="7678" width="9.7109375" customWidth="1"/>
    <col min="7679" max="7681" width="12.140625" customWidth="1"/>
    <col min="7682" max="7682" width="0" hidden="1" customWidth="1"/>
    <col min="7683" max="7688" width="12.140625" customWidth="1"/>
    <col min="7925" max="7925" width="18.140625" customWidth="1"/>
    <col min="7926" max="7926" width="46.140625" customWidth="1"/>
    <col min="7927" max="7927" width="10" customWidth="1"/>
    <col min="7928" max="7928" width="12.42578125" customWidth="1"/>
    <col min="7929" max="7929" width="16.140625" customWidth="1"/>
    <col min="7930" max="7930" width="25.28515625" customWidth="1"/>
    <col min="7931" max="7932" width="13.7109375" customWidth="1"/>
    <col min="7933" max="7933" width="12.140625" customWidth="1"/>
    <col min="7934" max="7934" width="9.7109375" customWidth="1"/>
    <col min="7935" max="7937" width="12.140625" customWidth="1"/>
    <col min="7938" max="7938" width="0" hidden="1" customWidth="1"/>
    <col min="7939" max="7944" width="12.140625" customWidth="1"/>
    <col min="8181" max="8181" width="18.140625" customWidth="1"/>
    <col min="8182" max="8182" width="46.140625" customWidth="1"/>
    <col min="8183" max="8183" width="10" customWidth="1"/>
    <col min="8184" max="8184" width="12.42578125" customWidth="1"/>
    <col min="8185" max="8185" width="16.140625" customWidth="1"/>
    <col min="8186" max="8186" width="25.28515625" customWidth="1"/>
    <col min="8187" max="8188" width="13.7109375" customWidth="1"/>
    <col min="8189" max="8189" width="12.140625" customWidth="1"/>
    <col min="8190" max="8190" width="9.7109375" customWidth="1"/>
    <col min="8191" max="8193" width="12.140625" customWidth="1"/>
    <col min="8194" max="8194" width="0" hidden="1" customWidth="1"/>
    <col min="8195" max="8200" width="12.140625" customWidth="1"/>
    <col min="8437" max="8437" width="18.140625" customWidth="1"/>
    <col min="8438" max="8438" width="46.140625" customWidth="1"/>
    <col min="8439" max="8439" width="10" customWidth="1"/>
    <col min="8440" max="8440" width="12.42578125" customWidth="1"/>
    <col min="8441" max="8441" width="16.140625" customWidth="1"/>
    <col min="8442" max="8442" width="25.28515625" customWidth="1"/>
    <col min="8443" max="8444" width="13.7109375" customWidth="1"/>
    <col min="8445" max="8445" width="12.140625" customWidth="1"/>
    <col min="8446" max="8446" width="9.7109375" customWidth="1"/>
    <col min="8447" max="8449" width="12.140625" customWidth="1"/>
    <col min="8450" max="8450" width="0" hidden="1" customWidth="1"/>
    <col min="8451" max="8456" width="12.140625" customWidth="1"/>
    <col min="8693" max="8693" width="18.140625" customWidth="1"/>
    <col min="8694" max="8694" width="46.140625" customWidth="1"/>
    <col min="8695" max="8695" width="10" customWidth="1"/>
    <col min="8696" max="8696" width="12.42578125" customWidth="1"/>
    <col min="8697" max="8697" width="16.140625" customWidth="1"/>
    <col min="8698" max="8698" width="25.28515625" customWidth="1"/>
    <col min="8699" max="8700" width="13.7109375" customWidth="1"/>
    <col min="8701" max="8701" width="12.140625" customWidth="1"/>
    <col min="8702" max="8702" width="9.7109375" customWidth="1"/>
    <col min="8703" max="8705" width="12.140625" customWidth="1"/>
    <col min="8706" max="8706" width="0" hidden="1" customWidth="1"/>
    <col min="8707" max="8712" width="12.140625" customWidth="1"/>
    <col min="8949" max="8949" width="18.140625" customWidth="1"/>
    <col min="8950" max="8950" width="46.140625" customWidth="1"/>
    <col min="8951" max="8951" width="10" customWidth="1"/>
    <col min="8952" max="8952" width="12.42578125" customWidth="1"/>
    <col min="8953" max="8953" width="16.140625" customWidth="1"/>
    <col min="8954" max="8954" width="25.28515625" customWidth="1"/>
    <col min="8955" max="8956" width="13.7109375" customWidth="1"/>
    <col min="8957" max="8957" width="12.140625" customWidth="1"/>
    <col min="8958" max="8958" width="9.7109375" customWidth="1"/>
    <col min="8959" max="8961" width="12.140625" customWidth="1"/>
    <col min="8962" max="8962" width="0" hidden="1" customWidth="1"/>
    <col min="8963" max="8968" width="12.140625" customWidth="1"/>
    <col min="9205" max="9205" width="18.140625" customWidth="1"/>
    <col min="9206" max="9206" width="46.140625" customWidth="1"/>
    <col min="9207" max="9207" width="10" customWidth="1"/>
    <col min="9208" max="9208" width="12.42578125" customWidth="1"/>
    <col min="9209" max="9209" width="16.140625" customWidth="1"/>
    <col min="9210" max="9210" width="25.28515625" customWidth="1"/>
    <col min="9211" max="9212" width="13.7109375" customWidth="1"/>
    <col min="9213" max="9213" width="12.140625" customWidth="1"/>
    <col min="9214" max="9214" width="9.7109375" customWidth="1"/>
    <col min="9215" max="9217" width="12.140625" customWidth="1"/>
    <col min="9218" max="9218" width="0" hidden="1" customWidth="1"/>
    <col min="9219" max="9224" width="12.140625" customWidth="1"/>
    <col min="9461" max="9461" width="18.140625" customWidth="1"/>
    <col min="9462" max="9462" width="46.140625" customWidth="1"/>
    <col min="9463" max="9463" width="10" customWidth="1"/>
    <col min="9464" max="9464" width="12.42578125" customWidth="1"/>
    <col min="9465" max="9465" width="16.140625" customWidth="1"/>
    <col min="9466" max="9466" width="25.28515625" customWidth="1"/>
    <col min="9467" max="9468" width="13.7109375" customWidth="1"/>
    <col min="9469" max="9469" width="12.140625" customWidth="1"/>
    <col min="9470" max="9470" width="9.7109375" customWidth="1"/>
    <col min="9471" max="9473" width="12.140625" customWidth="1"/>
    <col min="9474" max="9474" width="0" hidden="1" customWidth="1"/>
    <col min="9475" max="9480" width="12.140625" customWidth="1"/>
    <col min="9717" max="9717" width="18.140625" customWidth="1"/>
    <col min="9718" max="9718" width="46.140625" customWidth="1"/>
    <col min="9719" max="9719" width="10" customWidth="1"/>
    <col min="9720" max="9720" width="12.42578125" customWidth="1"/>
    <col min="9721" max="9721" width="16.140625" customWidth="1"/>
    <col min="9722" max="9722" width="25.28515625" customWidth="1"/>
    <col min="9723" max="9724" width="13.7109375" customWidth="1"/>
    <col min="9725" max="9725" width="12.140625" customWidth="1"/>
    <col min="9726" max="9726" width="9.7109375" customWidth="1"/>
    <col min="9727" max="9729" width="12.140625" customWidth="1"/>
    <col min="9730" max="9730" width="0" hidden="1" customWidth="1"/>
    <col min="9731" max="9736" width="12.140625" customWidth="1"/>
    <col min="9973" max="9973" width="18.140625" customWidth="1"/>
    <col min="9974" max="9974" width="46.140625" customWidth="1"/>
    <col min="9975" max="9975" width="10" customWidth="1"/>
    <col min="9976" max="9976" width="12.42578125" customWidth="1"/>
    <col min="9977" max="9977" width="16.140625" customWidth="1"/>
    <col min="9978" max="9978" width="25.28515625" customWidth="1"/>
    <col min="9979" max="9980" width="13.7109375" customWidth="1"/>
    <col min="9981" max="9981" width="12.140625" customWidth="1"/>
    <col min="9982" max="9982" width="9.7109375" customWidth="1"/>
    <col min="9983" max="9985" width="12.140625" customWidth="1"/>
    <col min="9986" max="9986" width="0" hidden="1" customWidth="1"/>
    <col min="9987" max="9992" width="12.140625" customWidth="1"/>
    <col min="10229" max="10229" width="18.140625" customWidth="1"/>
    <col min="10230" max="10230" width="46.140625" customWidth="1"/>
    <col min="10231" max="10231" width="10" customWidth="1"/>
    <col min="10232" max="10232" width="12.42578125" customWidth="1"/>
    <col min="10233" max="10233" width="16.140625" customWidth="1"/>
    <col min="10234" max="10234" width="25.28515625" customWidth="1"/>
    <col min="10235" max="10236" width="13.7109375" customWidth="1"/>
    <col min="10237" max="10237" width="12.140625" customWidth="1"/>
    <col min="10238" max="10238" width="9.7109375" customWidth="1"/>
    <col min="10239" max="10241" width="12.140625" customWidth="1"/>
    <col min="10242" max="10242" width="0" hidden="1" customWidth="1"/>
    <col min="10243" max="10248" width="12.140625" customWidth="1"/>
    <col min="10485" max="10485" width="18.140625" customWidth="1"/>
    <col min="10486" max="10486" width="46.140625" customWidth="1"/>
    <col min="10487" max="10487" width="10" customWidth="1"/>
    <col min="10488" max="10488" width="12.42578125" customWidth="1"/>
    <col min="10489" max="10489" width="16.140625" customWidth="1"/>
    <col min="10490" max="10490" width="25.28515625" customWidth="1"/>
    <col min="10491" max="10492" width="13.7109375" customWidth="1"/>
    <col min="10493" max="10493" width="12.140625" customWidth="1"/>
    <col min="10494" max="10494" width="9.7109375" customWidth="1"/>
    <col min="10495" max="10497" width="12.140625" customWidth="1"/>
    <col min="10498" max="10498" width="0" hidden="1" customWidth="1"/>
    <col min="10499" max="10504" width="12.140625" customWidth="1"/>
    <col min="10741" max="10741" width="18.140625" customWidth="1"/>
    <col min="10742" max="10742" width="46.140625" customWidth="1"/>
    <col min="10743" max="10743" width="10" customWidth="1"/>
    <col min="10744" max="10744" width="12.42578125" customWidth="1"/>
    <col min="10745" max="10745" width="16.140625" customWidth="1"/>
    <col min="10746" max="10746" width="25.28515625" customWidth="1"/>
    <col min="10747" max="10748" width="13.7109375" customWidth="1"/>
    <col min="10749" max="10749" width="12.140625" customWidth="1"/>
    <col min="10750" max="10750" width="9.7109375" customWidth="1"/>
    <col min="10751" max="10753" width="12.140625" customWidth="1"/>
    <col min="10754" max="10754" width="0" hidden="1" customWidth="1"/>
    <col min="10755" max="10760" width="12.140625" customWidth="1"/>
    <col min="10997" max="10997" width="18.140625" customWidth="1"/>
    <col min="10998" max="10998" width="46.140625" customWidth="1"/>
    <col min="10999" max="10999" width="10" customWidth="1"/>
    <col min="11000" max="11000" width="12.42578125" customWidth="1"/>
    <col min="11001" max="11001" width="16.140625" customWidth="1"/>
    <col min="11002" max="11002" width="25.28515625" customWidth="1"/>
    <col min="11003" max="11004" width="13.7109375" customWidth="1"/>
    <col min="11005" max="11005" width="12.140625" customWidth="1"/>
    <col min="11006" max="11006" width="9.7109375" customWidth="1"/>
    <col min="11007" max="11009" width="12.140625" customWidth="1"/>
    <col min="11010" max="11010" width="0" hidden="1" customWidth="1"/>
    <col min="11011" max="11016" width="12.140625" customWidth="1"/>
    <col min="11253" max="11253" width="18.140625" customWidth="1"/>
    <col min="11254" max="11254" width="46.140625" customWidth="1"/>
    <col min="11255" max="11255" width="10" customWidth="1"/>
    <col min="11256" max="11256" width="12.42578125" customWidth="1"/>
    <col min="11257" max="11257" width="16.140625" customWidth="1"/>
    <col min="11258" max="11258" width="25.28515625" customWidth="1"/>
    <col min="11259" max="11260" width="13.7109375" customWidth="1"/>
    <col min="11261" max="11261" width="12.140625" customWidth="1"/>
    <col min="11262" max="11262" width="9.7109375" customWidth="1"/>
    <col min="11263" max="11265" width="12.140625" customWidth="1"/>
    <col min="11266" max="11266" width="0" hidden="1" customWidth="1"/>
    <col min="11267" max="11272" width="12.140625" customWidth="1"/>
    <col min="11509" max="11509" width="18.140625" customWidth="1"/>
    <col min="11510" max="11510" width="46.140625" customWidth="1"/>
    <col min="11511" max="11511" width="10" customWidth="1"/>
    <col min="11512" max="11512" width="12.42578125" customWidth="1"/>
    <col min="11513" max="11513" width="16.140625" customWidth="1"/>
    <col min="11514" max="11514" width="25.28515625" customWidth="1"/>
    <col min="11515" max="11516" width="13.7109375" customWidth="1"/>
    <col min="11517" max="11517" width="12.140625" customWidth="1"/>
    <col min="11518" max="11518" width="9.7109375" customWidth="1"/>
    <col min="11519" max="11521" width="12.140625" customWidth="1"/>
    <col min="11522" max="11522" width="0" hidden="1" customWidth="1"/>
    <col min="11523" max="11528" width="12.140625" customWidth="1"/>
    <col min="11765" max="11765" width="18.140625" customWidth="1"/>
    <col min="11766" max="11766" width="46.140625" customWidth="1"/>
    <col min="11767" max="11767" width="10" customWidth="1"/>
    <col min="11768" max="11768" width="12.42578125" customWidth="1"/>
    <col min="11769" max="11769" width="16.140625" customWidth="1"/>
    <col min="11770" max="11770" width="25.28515625" customWidth="1"/>
    <col min="11771" max="11772" width="13.7109375" customWidth="1"/>
    <col min="11773" max="11773" width="12.140625" customWidth="1"/>
    <col min="11774" max="11774" width="9.7109375" customWidth="1"/>
    <col min="11775" max="11777" width="12.140625" customWidth="1"/>
    <col min="11778" max="11778" width="0" hidden="1" customWidth="1"/>
    <col min="11779" max="11784" width="12.140625" customWidth="1"/>
    <col min="12021" max="12021" width="18.140625" customWidth="1"/>
    <col min="12022" max="12022" width="46.140625" customWidth="1"/>
    <col min="12023" max="12023" width="10" customWidth="1"/>
    <col min="12024" max="12024" width="12.42578125" customWidth="1"/>
    <col min="12025" max="12025" width="16.140625" customWidth="1"/>
    <col min="12026" max="12026" width="25.28515625" customWidth="1"/>
    <col min="12027" max="12028" width="13.7109375" customWidth="1"/>
    <col min="12029" max="12029" width="12.140625" customWidth="1"/>
    <col min="12030" max="12030" width="9.7109375" customWidth="1"/>
    <col min="12031" max="12033" width="12.140625" customWidth="1"/>
    <col min="12034" max="12034" width="0" hidden="1" customWidth="1"/>
    <col min="12035" max="12040" width="12.140625" customWidth="1"/>
    <col min="12277" max="12277" width="18.140625" customWidth="1"/>
    <col min="12278" max="12278" width="46.140625" customWidth="1"/>
    <col min="12279" max="12279" width="10" customWidth="1"/>
    <col min="12280" max="12280" width="12.42578125" customWidth="1"/>
    <col min="12281" max="12281" width="16.140625" customWidth="1"/>
    <col min="12282" max="12282" width="25.28515625" customWidth="1"/>
    <col min="12283" max="12284" width="13.7109375" customWidth="1"/>
    <col min="12285" max="12285" width="12.140625" customWidth="1"/>
    <col min="12286" max="12286" width="9.7109375" customWidth="1"/>
    <col min="12287" max="12289" width="12.140625" customWidth="1"/>
    <col min="12290" max="12290" width="0" hidden="1" customWidth="1"/>
    <col min="12291" max="12296" width="12.140625" customWidth="1"/>
    <col min="12533" max="12533" width="18.140625" customWidth="1"/>
    <col min="12534" max="12534" width="46.140625" customWidth="1"/>
    <col min="12535" max="12535" width="10" customWidth="1"/>
    <col min="12536" max="12536" width="12.42578125" customWidth="1"/>
    <col min="12537" max="12537" width="16.140625" customWidth="1"/>
    <col min="12538" max="12538" width="25.28515625" customWidth="1"/>
    <col min="12539" max="12540" width="13.7109375" customWidth="1"/>
    <col min="12541" max="12541" width="12.140625" customWidth="1"/>
    <col min="12542" max="12542" width="9.7109375" customWidth="1"/>
    <col min="12543" max="12545" width="12.140625" customWidth="1"/>
    <col min="12546" max="12546" width="0" hidden="1" customWidth="1"/>
    <col min="12547" max="12552" width="12.140625" customWidth="1"/>
    <col min="12789" max="12789" width="18.140625" customWidth="1"/>
    <col min="12790" max="12790" width="46.140625" customWidth="1"/>
    <col min="12791" max="12791" width="10" customWidth="1"/>
    <col min="12792" max="12792" width="12.42578125" customWidth="1"/>
    <col min="12793" max="12793" width="16.140625" customWidth="1"/>
    <col min="12794" max="12794" width="25.28515625" customWidth="1"/>
    <col min="12795" max="12796" width="13.7109375" customWidth="1"/>
    <col min="12797" max="12797" width="12.140625" customWidth="1"/>
    <col min="12798" max="12798" width="9.7109375" customWidth="1"/>
    <col min="12799" max="12801" width="12.140625" customWidth="1"/>
    <col min="12802" max="12802" width="0" hidden="1" customWidth="1"/>
    <col min="12803" max="12808" width="12.140625" customWidth="1"/>
    <col min="13045" max="13045" width="18.140625" customWidth="1"/>
    <col min="13046" max="13046" width="46.140625" customWidth="1"/>
    <col min="13047" max="13047" width="10" customWidth="1"/>
    <col min="13048" max="13048" width="12.42578125" customWidth="1"/>
    <col min="13049" max="13049" width="16.140625" customWidth="1"/>
    <col min="13050" max="13050" width="25.28515625" customWidth="1"/>
    <col min="13051" max="13052" width="13.7109375" customWidth="1"/>
    <col min="13053" max="13053" width="12.140625" customWidth="1"/>
    <col min="13054" max="13054" width="9.7109375" customWidth="1"/>
    <col min="13055" max="13057" width="12.140625" customWidth="1"/>
    <col min="13058" max="13058" width="0" hidden="1" customWidth="1"/>
    <col min="13059" max="13064" width="12.140625" customWidth="1"/>
    <col min="13301" max="13301" width="18.140625" customWidth="1"/>
    <col min="13302" max="13302" width="46.140625" customWidth="1"/>
    <col min="13303" max="13303" width="10" customWidth="1"/>
    <col min="13304" max="13304" width="12.42578125" customWidth="1"/>
    <col min="13305" max="13305" width="16.140625" customWidth="1"/>
    <col min="13306" max="13306" width="25.28515625" customWidth="1"/>
    <col min="13307" max="13308" width="13.7109375" customWidth="1"/>
    <col min="13309" max="13309" width="12.140625" customWidth="1"/>
    <col min="13310" max="13310" width="9.7109375" customWidth="1"/>
    <col min="13311" max="13313" width="12.140625" customWidth="1"/>
    <col min="13314" max="13314" width="0" hidden="1" customWidth="1"/>
    <col min="13315" max="13320" width="12.140625" customWidth="1"/>
    <col min="13557" max="13557" width="18.140625" customWidth="1"/>
    <col min="13558" max="13558" width="46.140625" customWidth="1"/>
    <col min="13559" max="13559" width="10" customWidth="1"/>
    <col min="13560" max="13560" width="12.42578125" customWidth="1"/>
    <col min="13561" max="13561" width="16.140625" customWidth="1"/>
    <col min="13562" max="13562" width="25.28515625" customWidth="1"/>
    <col min="13563" max="13564" width="13.7109375" customWidth="1"/>
    <col min="13565" max="13565" width="12.140625" customWidth="1"/>
    <col min="13566" max="13566" width="9.7109375" customWidth="1"/>
    <col min="13567" max="13569" width="12.140625" customWidth="1"/>
    <col min="13570" max="13570" width="0" hidden="1" customWidth="1"/>
    <col min="13571" max="13576" width="12.140625" customWidth="1"/>
    <col min="13813" max="13813" width="18.140625" customWidth="1"/>
    <col min="13814" max="13814" width="46.140625" customWidth="1"/>
    <col min="13815" max="13815" width="10" customWidth="1"/>
    <col min="13816" max="13816" width="12.42578125" customWidth="1"/>
    <col min="13817" max="13817" width="16.140625" customWidth="1"/>
    <col min="13818" max="13818" width="25.28515625" customWidth="1"/>
    <col min="13819" max="13820" width="13.7109375" customWidth="1"/>
    <col min="13821" max="13821" width="12.140625" customWidth="1"/>
    <col min="13822" max="13822" width="9.7109375" customWidth="1"/>
    <col min="13823" max="13825" width="12.140625" customWidth="1"/>
    <col min="13826" max="13826" width="0" hidden="1" customWidth="1"/>
    <col min="13827" max="13832" width="12.140625" customWidth="1"/>
    <col min="14069" max="14069" width="18.140625" customWidth="1"/>
    <col min="14070" max="14070" width="46.140625" customWidth="1"/>
    <col min="14071" max="14071" width="10" customWidth="1"/>
    <col min="14072" max="14072" width="12.42578125" customWidth="1"/>
    <col min="14073" max="14073" width="16.140625" customWidth="1"/>
    <col min="14074" max="14074" width="25.28515625" customWidth="1"/>
    <col min="14075" max="14076" width="13.7109375" customWidth="1"/>
    <col min="14077" max="14077" width="12.140625" customWidth="1"/>
    <col min="14078" max="14078" width="9.7109375" customWidth="1"/>
    <col min="14079" max="14081" width="12.140625" customWidth="1"/>
    <col min="14082" max="14082" width="0" hidden="1" customWidth="1"/>
    <col min="14083" max="14088" width="12.140625" customWidth="1"/>
    <col min="14325" max="14325" width="18.140625" customWidth="1"/>
    <col min="14326" max="14326" width="46.140625" customWidth="1"/>
    <col min="14327" max="14327" width="10" customWidth="1"/>
    <col min="14328" max="14328" width="12.42578125" customWidth="1"/>
    <col min="14329" max="14329" width="16.140625" customWidth="1"/>
    <col min="14330" max="14330" width="25.28515625" customWidth="1"/>
    <col min="14331" max="14332" width="13.7109375" customWidth="1"/>
    <col min="14333" max="14333" width="12.140625" customWidth="1"/>
    <col min="14334" max="14334" width="9.7109375" customWidth="1"/>
    <col min="14335" max="14337" width="12.140625" customWidth="1"/>
    <col min="14338" max="14338" width="0" hidden="1" customWidth="1"/>
    <col min="14339" max="14344" width="12.140625" customWidth="1"/>
    <col min="14581" max="14581" width="18.140625" customWidth="1"/>
    <col min="14582" max="14582" width="46.140625" customWidth="1"/>
    <col min="14583" max="14583" width="10" customWidth="1"/>
    <col min="14584" max="14584" width="12.42578125" customWidth="1"/>
    <col min="14585" max="14585" width="16.140625" customWidth="1"/>
    <col min="14586" max="14586" width="25.28515625" customWidth="1"/>
    <col min="14587" max="14588" width="13.7109375" customWidth="1"/>
    <col min="14589" max="14589" width="12.140625" customWidth="1"/>
    <col min="14590" max="14590" width="9.7109375" customWidth="1"/>
    <col min="14591" max="14593" width="12.140625" customWidth="1"/>
    <col min="14594" max="14594" width="0" hidden="1" customWidth="1"/>
    <col min="14595" max="14600" width="12.140625" customWidth="1"/>
    <col min="14837" max="14837" width="18.140625" customWidth="1"/>
    <col min="14838" max="14838" width="46.140625" customWidth="1"/>
    <col min="14839" max="14839" width="10" customWidth="1"/>
    <col min="14840" max="14840" width="12.42578125" customWidth="1"/>
    <col min="14841" max="14841" width="16.140625" customWidth="1"/>
    <col min="14842" max="14842" width="25.28515625" customWidth="1"/>
    <col min="14843" max="14844" width="13.7109375" customWidth="1"/>
    <col min="14845" max="14845" width="12.140625" customWidth="1"/>
    <col min="14846" max="14846" width="9.7109375" customWidth="1"/>
    <col min="14847" max="14849" width="12.140625" customWidth="1"/>
    <col min="14850" max="14850" width="0" hidden="1" customWidth="1"/>
    <col min="14851" max="14856" width="12.140625" customWidth="1"/>
    <col min="15093" max="15093" width="18.140625" customWidth="1"/>
    <col min="15094" max="15094" width="46.140625" customWidth="1"/>
    <col min="15095" max="15095" width="10" customWidth="1"/>
    <col min="15096" max="15096" width="12.42578125" customWidth="1"/>
    <col min="15097" max="15097" width="16.140625" customWidth="1"/>
    <col min="15098" max="15098" width="25.28515625" customWidth="1"/>
    <col min="15099" max="15100" width="13.7109375" customWidth="1"/>
    <col min="15101" max="15101" width="12.140625" customWidth="1"/>
    <col min="15102" max="15102" width="9.7109375" customWidth="1"/>
    <col min="15103" max="15105" width="12.140625" customWidth="1"/>
    <col min="15106" max="15106" width="0" hidden="1" customWidth="1"/>
    <col min="15107" max="15112" width="12.140625" customWidth="1"/>
    <col min="15349" max="15349" width="18.140625" customWidth="1"/>
    <col min="15350" max="15350" width="46.140625" customWidth="1"/>
    <col min="15351" max="15351" width="10" customWidth="1"/>
    <col min="15352" max="15352" width="12.42578125" customWidth="1"/>
    <col min="15353" max="15353" width="16.140625" customWidth="1"/>
    <col min="15354" max="15354" width="25.28515625" customWidth="1"/>
    <col min="15355" max="15356" width="13.7109375" customWidth="1"/>
    <col min="15357" max="15357" width="12.140625" customWidth="1"/>
    <col min="15358" max="15358" width="9.7109375" customWidth="1"/>
    <col min="15359" max="15361" width="12.140625" customWidth="1"/>
    <col min="15362" max="15362" width="0" hidden="1" customWidth="1"/>
    <col min="15363" max="15368" width="12.140625" customWidth="1"/>
    <col min="15605" max="15605" width="18.140625" customWidth="1"/>
    <col min="15606" max="15606" width="46.140625" customWidth="1"/>
    <col min="15607" max="15607" width="10" customWidth="1"/>
    <col min="15608" max="15608" width="12.42578125" customWidth="1"/>
    <col min="15609" max="15609" width="16.140625" customWidth="1"/>
    <col min="15610" max="15610" width="25.28515625" customWidth="1"/>
    <col min="15611" max="15612" width="13.7109375" customWidth="1"/>
    <col min="15613" max="15613" width="12.140625" customWidth="1"/>
    <col min="15614" max="15614" width="9.7109375" customWidth="1"/>
    <col min="15615" max="15617" width="12.140625" customWidth="1"/>
    <col min="15618" max="15618" width="0" hidden="1" customWidth="1"/>
    <col min="15619" max="15624" width="12.140625" customWidth="1"/>
    <col min="15861" max="15861" width="18.140625" customWidth="1"/>
    <col min="15862" max="15862" width="46.140625" customWidth="1"/>
    <col min="15863" max="15863" width="10" customWidth="1"/>
    <col min="15864" max="15864" width="12.42578125" customWidth="1"/>
    <col min="15865" max="15865" width="16.140625" customWidth="1"/>
    <col min="15866" max="15866" width="25.28515625" customWidth="1"/>
    <col min="15867" max="15868" width="13.7109375" customWidth="1"/>
    <col min="15869" max="15869" width="12.140625" customWidth="1"/>
    <col min="15870" max="15870" width="9.7109375" customWidth="1"/>
    <col min="15871" max="15873" width="12.140625" customWidth="1"/>
    <col min="15874" max="15874" width="0" hidden="1" customWidth="1"/>
    <col min="15875" max="15880" width="12.140625" customWidth="1"/>
    <col min="16117" max="16117" width="18.140625" customWidth="1"/>
    <col min="16118" max="16118" width="46.140625" customWidth="1"/>
    <col min="16119" max="16119" width="10" customWidth="1"/>
    <col min="16120" max="16120" width="12.42578125" customWidth="1"/>
    <col min="16121" max="16121" width="16.140625" customWidth="1"/>
    <col min="16122" max="16122" width="25.28515625" customWidth="1"/>
    <col min="16123" max="16124" width="13.7109375" customWidth="1"/>
    <col min="16125" max="16125" width="12.140625" customWidth="1"/>
    <col min="16126" max="16126" width="9.7109375" customWidth="1"/>
    <col min="16127" max="16129" width="12.140625" customWidth="1"/>
    <col min="16130" max="16130" width="0" hidden="1" customWidth="1"/>
    <col min="16131" max="16136" width="12.140625" customWidth="1"/>
  </cols>
  <sheetData>
    <row r="1" spans="2:12" ht="15" customHeight="1">
      <c r="B1" s="597" t="s">
        <v>291</v>
      </c>
      <c r="C1" s="598"/>
      <c r="D1" s="598"/>
      <c r="E1" s="598"/>
      <c r="F1" s="598"/>
      <c r="G1" s="598"/>
      <c r="H1" s="598"/>
      <c r="I1" s="598"/>
      <c r="J1" s="598"/>
      <c r="K1" s="598"/>
      <c r="L1" s="599"/>
    </row>
    <row r="2" spans="2:12" ht="15" customHeight="1">
      <c r="B2" s="600"/>
      <c r="C2" s="601"/>
      <c r="D2" s="601"/>
      <c r="E2" s="601"/>
      <c r="F2" s="601"/>
      <c r="G2" s="601"/>
      <c r="H2" s="601"/>
      <c r="I2" s="601"/>
      <c r="J2" s="601"/>
      <c r="K2" s="601"/>
      <c r="L2" s="602"/>
    </row>
    <row r="3" spans="2:12" ht="15" customHeight="1">
      <c r="B3" s="603"/>
      <c r="C3" s="604"/>
      <c r="D3" s="604"/>
      <c r="E3" s="604"/>
      <c r="F3" s="604"/>
      <c r="G3" s="604"/>
      <c r="H3" s="604"/>
      <c r="I3" s="604"/>
      <c r="J3" s="604"/>
      <c r="K3" s="604"/>
      <c r="L3" s="605"/>
    </row>
    <row r="5" spans="2:12">
      <c r="C5" s="319"/>
    </row>
    <row r="9" spans="2:12">
      <c r="C9" s="492" t="s">
        <v>292</v>
      </c>
      <c r="D9" s="493"/>
      <c r="E9" s="494"/>
      <c r="G9" s="492" t="s">
        <v>293</v>
      </c>
      <c r="H9" s="493"/>
      <c r="I9" s="494"/>
      <c r="K9" s="480" t="s">
        <v>294</v>
      </c>
    </row>
    <row r="10" spans="2:12" ht="30">
      <c r="C10" s="479" t="s">
        <v>295</v>
      </c>
      <c r="D10" s="479" t="s">
        <v>296</v>
      </c>
      <c r="E10" s="481" t="s">
        <v>297</v>
      </c>
      <c r="F10" s="1"/>
      <c r="G10" s="479" t="s">
        <v>295</v>
      </c>
      <c r="H10" s="479" t="s">
        <v>296</v>
      </c>
      <c r="I10" s="479" t="s">
        <v>297</v>
      </c>
      <c r="J10" s="1"/>
      <c r="K10" s="510" t="s">
        <v>298</v>
      </c>
    </row>
    <row r="11" spans="2:12" hidden="1" outlineLevel="1">
      <c r="B11" s="482" t="s">
        <v>299</v>
      </c>
      <c r="C11" s="480"/>
      <c r="D11" s="480"/>
      <c r="E11" s="483">
        <f t="shared" ref="E11:E26" si="0">IF((D11-C11)&lt;0,0,(D11-C11))</f>
        <v>0</v>
      </c>
      <c r="F11" s="1"/>
      <c r="G11" s="480"/>
      <c r="H11" s="480"/>
      <c r="I11" s="484">
        <f t="shared" ref="I11:I26" si="1">IF((H11-G11)&lt;0,0,(H11-G11))</f>
        <v>0</v>
      </c>
      <c r="J11" s="1"/>
      <c r="K11" s="480">
        <f t="shared" ref="K11:K20" si="2">I11+E11</f>
        <v>0</v>
      </c>
    </row>
    <row r="12" spans="2:12" hidden="1" outlineLevel="1">
      <c r="B12" s="482" t="s">
        <v>300</v>
      </c>
      <c r="C12" s="480">
        <f>D11</f>
        <v>0</v>
      </c>
      <c r="D12" s="480"/>
      <c r="E12" s="483">
        <f t="shared" si="0"/>
        <v>0</v>
      </c>
      <c r="F12" s="1"/>
      <c r="G12" s="480">
        <f>H11</f>
        <v>0</v>
      </c>
      <c r="H12" s="480"/>
      <c r="I12" s="484">
        <f t="shared" si="1"/>
        <v>0</v>
      </c>
      <c r="J12" s="1"/>
      <c r="K12" s="480">
        <f t="shared" si="2"/>
        <v>0</v>
      </c>
    </row>
    <row r="13" spans="2:12" hidden="1" outlineLevel="1">
      <c r="B13" s="482" t="s">
        <v>301</v>
      </c>
      <c r="C13" s="480">
        <f t="shared" ref="C13:C26" si="3">D12</f>
        <v>0</v>
      </c>
      <c r="D13" s="480"/>
      <c r="E13" s="483">
        <f t="shared" si="0"/>
        <v>0</v>
      </c>
      <c r="F13" s="1"/>
      <c r="G13" s="480">
        <f t="shared" ref="G13:G26" si="4">H12</f>
        <v>0</v>
      </c>
      <c r="H13" s="480"/>
      <c r="I13" s="484">
        <f t="shared" si="1"/>
        <v>0</v>
      </c>
      <c r="J13" s="1"/>
      <c r="K13" s="480">
        <f t="shared" si="2"/>
        <v>0</v>
      </c>
    </row>
    <row r="14" spans="2:12" hidden="1" outlineLevel="1">
      <c r="B14" s="482" t="s">
        <v>302</v>
      </c>
      <c r="C14" s="480">
        <f t="shared" si="3"/>
        <v>0</v>
      </c>
      <c r="D14" s="480"/>
      <c r="E14" s="483">
        <f t="shared" si="0"/>
        <v>0</v>
      </c>
      <c r="F14" s="1"/>
      <c r="G14" s="480">
        <f t="shared" si="4"/>
        <v>0</v>
      </c>
      <c r="H14" s="480"/>
      <c r="I14" s="484">
        <f t="shared" si="1"/>
        <v>0</v>
      </c>
      <c r="J14" s="1"/>
      <c r="K14" s="480">
        <f t="shared" si="2"/>
        <v>0</v>
      </c>
    </row>
    <row r="15" spans="2:12" hidden="1" outlineLevel="1">
      <c r="B15" s="485">
        <v>45923</v>
      </c>
      <c r="C15" s="487">
        <f t="shared" si="3"/>
        <v>0</v>
      </c>
      <c r="D15" s="487">
        <v>482</v>
      </c>
      <c r="E15" s="486">
        <f t="shared" si="0"/>
        <v>482</v>
      </c>
      <c r="F15" s="1"/>
      <c r="G15" s="487">
        <f t="shared" si="4"/>
        <v>0</v>
      </c>
      <c r="H15" s="487">
        <v>193</v>
      </c>
      <c r="I15" s="487">
        <f t="shared" si="1"/>
        <v>193</v>
      </c>
      <c r="J15" s="1"/>
      <c r="K15" s="487">
        <f t="shared" si="2"/>
        <v>675</v>
      </c>
    </row>
    <row r="16" spans="2:12" hidden="1" outlineLevel="1">
      <c r="B16" s="488">
        <v>44916</v>
      </c>
      <c r="C16" s="480">
        <f t="shared" si="3"/>
        <v>482</v>
      </c>
      <c r="D16" s="489">
        <v>4834</v>
      </c>
      <c r="E16" s="482">
        <f t="shared" si="0"/>
        <v>4352</v>
      </c>
      <c r="F16" s="1"/>
      <c r="G16" s="480">
        <f t="shared" si="4"/>
        <v>193</v>
      </c>
      <c r="H16" s="489">
        <v>1534</v>
      </c>
      <c r="I16" s="480">
        <f t="shared" si="1"/>
        <v>1341</v>
      </c>
      <c r="J16" s="1"/>
      <c r="K16" s="480">
        <f t="shared" si="2"/>
        <v>5693</v>
      </c>
    </row>
    <row r="17" spans="1:12" hidden="1" outlineLevel="1">
      <c r="B17" s="482" t="s">
        <v>303</v>
      </c>
      <c r="C17" s="480">
        <f t="shared" si="3"/>
        <v>4834</v>
      </c>
      <c r="D17" s="489">
        <v>10015</v>
      </c>
      <c r="E17" s="490">
        <f t="shared" si="0"/>
        <v>5181</v>
      </c>
      <c r="F17" s="1"/>
      <c r="G17" s="480">
        <f t="shared" si="4"/>
        <v>1534</v>
      </c>
      <c r="H17" s="489">
        <v>2688</v>
      </c>
      <c r="I17" s="491">
        <f t="shared" si="1"/>
        <v>1154</v>
      </c>
      <c r="J17" s="1"/>
      <c r="K17" s="480">
        <f t="shared" si="2"/>
        <v>6335</v>
      </c>
    </row>
    <row r="18" spans="1:12" hidden="1" outlineLevel="1">
      <c r="B18" s="482" t="s">
        <v>304</v>
      </c>
      <c r="C18" s="480">
        <f t="shared" si="3"/>
        <v>10015</v>
      </c>
      <c r="D18" s="489">
        <v>13650</v>
      </c>
      <c r="E18" s="490">
        <f t="shared" si="0"/>
        <v>3635</v>
      </c>
      <c r="F18" s="1"/>
      <c r="G18" s="480">
        <f t="shared" si="4"/>
        <v>2688</v>
      </c>
      <c r="H18" s="489">
        <v>3400</v>
      </c>
      <c r="I18" s="491">
        <f t="shared" si="1"/>
        <v>712</v>
      </c>
      <c r="J18" s="1"/>
      <c r="K18" s="480">
        <f t="shared" si="2"/>
        <v>4347</v>
      </c>
    </row>
    <row r="19" spans="1:12" hidden="1" outlineLevel="1">
      <c r="B19" s="496" t="s">
        <v>305</v>
      </c>
      <c r="C19" s="3">
        <f t="shared" si="3"/>
        <v>13650</v>
      </c>
      <c r="D19" s="497">
        <v>17196</v>
      </c>
      <c r="E19" s="496">
        <f t="shared" si="0"/>
        <v>3546</v>
      </c>
      <c r="F19" s="1"/>
      <c r="G19" s="3">
        <f t="shared" si="4"/>
        <v>3400</v>
      </c>
      <c r="H19" s="497">
        <v>4039</v>
      </c>
      <c r="I19" s="3">
        <f t="shared" si="1"/>
        <v>639</v>
      </c>
      <c r="J19" s="1"/>
      <c r="K19" s="3">
        <f t="shared" si="2"/>
        <v>4185</v>
      </c>
    </row>
    <row r="20" spans="1:12" collapsed="1">
      <c r="A20" s="42" t="s">
        <v>306</v>
      </c>
      <c r="B20" s="504" t="s">
        <v>307</v>
      </c>
      <c r="C20" s="505">
        <f>D19</f>
        <v>17196</v>
      </c>
      <c r="D20" s="506">
        <v>22052</v>
      </c>
      <c r="E20" s="507">
        <f t="shared" si="0"/>
        <v>4856</v>
      </c>
      <c r="F20" s="1"/>
      <c r="G20" s="505">
        <f>H19</f>
        <v>4039</v>
      </c>
      <c r="H20" s="506">
        <v>5112</v>
      </c>
      <c r="I20" s="505">
        <f t="shared" si="1"/>
        <v>1073</v>
      </c>
      <c r="J20" s="1"/>
      <c r="K20" s="505">
        <f t="shared" si="2"/>
        <v>5929</v>
      </c>
    </row>
    <row r="21" spans="1:12">
      <c r="A21" s="495" t="s">
        <v>254</v>
      </c>
      <c r="B21" s="502" t="s">
        <v>308</v>
      </c>
      <c r="C21" s="204">
        <f t="shared" si="3"/>
        <v>22052</v>
      </c>
      <c r="D21" s="503">
        <v>25806</v>
      </c>
      <c r="E21" s="508">
        <f t="shared" si="0"/>
        <v>3754</v>
      </c>
      <c r="F21" s="1"/>
      <c r="G21" s="204">
        <f t="shared" si="4"/>
        <v>5112</v>
      </c>
      <c r="H21" s="503">
        <v>5354</v>
      </c>
      <c r="I21" s="26">
        <f t="shared" si="1"/>
        <v>242</v>
      </c>
      <c r="J21" s="1"/>
      <c r="K21" s="204">
        <f>I21+E21+K20</f>
        <v>9925</v>
      </c>
    </row>
    <row r="22" spans="1:12">
      <c r="A22" s="495"/>
      <c r="B22" s="502" t="s">
        <v>309</v>
      </c>
      <c r="C22" s="204">
        <f t="shared" si="3"/>
        <v>25806</v>
      </c>
      <c r="D22" s="503">
        <v>29226</v>
      </c>
      <c r="E22" s="508">
        <f t="shared" si="0"/>
        <v>3420</v>
      </c>
      <c r="F22" s="1"/>
      <c r="G22" s="204">
        <f t="shared" si="4"/>
        <v>5354</v>
      </c>
      <c r="H22" s="503">
        <v>5865</v>
      </c>
      <c r="I22" s="26">
        <f t="shared" si="1"/>
        <v>511</v>
      </c>
      <c r="J22" s="1"/>
      <c r="K22" s="204">
        <f t="shared" ref="K22:K23" si="5">I22+E22+K21</f>
        <v>13856</v>
      </c>
    </row>
    <row r="23" spans="1:12">
      <c r="A23" s="73"/>
      <c r="B23" s="498" t="s">
        <v>310</v>
      </c>
      <c r="C23" s="499">
        <f t="shared" si="3"/>
        <v>29226</v>
      </c>
      <c r="D23" s="500">
        <v>29384</v>
      </c>
      <c r="E23" s="501">
        <f t="shared" si="0"/>
        <v>158</v>
      </c>
      <c r="F23" s="1"/>
      <c r="G23" s="499">
        <f t="shared" si="4"/>
        <v>5865</v>
      </c>
      <c r="H23" s="500">
        <v>12057</v>
      </c>
      <c r="I23" s="72">
        <f t="shared" si="1"/>
        <v>6192</v>
      </c>
      <c r="J23" s="1"/>
      <c r="K23" s="509">
        <f t="shared" si="5"/>
        <v>20206</v>
      </c>
    </row>
    <row r="24" spans="1:12" s="175" customFormat="1">
      <c r="B24" s="511"/>
      <c r="C24" s="512"/>
      <c r="D24" s="512"/>
      <c r="E24" s="513"/>
      <c r="F24" s="514"/>
      <c r="G24" s="512"/>
      <c r="H24" s="512"/>
      <c r="I24" s="174"/>
      <c r="J24" s="514"/>
      <c r="K24" s="512"/>
    </row>
    <row r="25" spans="1:12">
      <c r="A25" s="42" t="s">
        <v>8</v>
      </c>
      <c r="B25" s="504" t="s">
        <v>311</v>
      </c>
      <c r="C25" s="505">
        <f>D23</f>
        <v>29384</v>
      </c>
      <c r="D25" s="506">
        <v>31487</v>
      </c>
      <c r="E25" s="507">
        <f t="shared" si="0"/>
        <v>2103</v>
      </c>
      <c r="F25" s="1"/>
      <c r="G25" s="505">
        <f>H23</f>
        <v>12057</v>
      </c>
      <c r="H25" s="506">
        <v>15208</v>
      </c>
      <c r="I25" s="505">
        <f t="shared" si="1"/>
        <v>3151</v>
      </c>
      <c r="J25" s="1"/>
      <c r="K25" s="505">
        <f>I25+E25</f>
        <v>5254</v>
      </c>
    </row>
    <row r="26" spans="1:12">
      <c r="A26" s="495" t="s">
        <v>255</v>
      </c>
      <c r="B26" s="502" t="s">
        <v>312</v>
      </c>
      <c r="C26" s="204">
        <f t="shared" si="3"/>
        <v>31487</v>
      </c>
      <c r="D26" s="503">
        <v>32808</v>
      </c>
      <c r="E26" s="508">
        <f t="shared" si="0"/>
        <v>1321</v>
      </c>
      <c r="F26" s="1"/>
      <c r="G26" s="204">
        <f t="shared" si="4"/>
        <v>15208</v>
      </c>
      <c r="H26" s="503">
        <v>18324</v>
      </c>
      <c r="I26" s="26">
        <f t="shared" si="1"/>
        <v>3116</v>
      </c>
      <c r="J26" s="1"/>
      <c r="K26" s="204">
        <f>I26+E26+K25</f>
        <v>9691</v>
      </c>
    </row>
    <row r="27" spans="1:12">
      <c r="A27" s="495"/>
      <c r="B27" s="502" t="s">
        <v>313</v>
      </c>
      <c r="C27" s="204">
        <f>D26</f>
        <v>32808</v>
      </c>
      <c r="D27" s="503">
        <v>33404</v>
      </c>
      <c r="E27" s="508">
        <f>IF((D27-C27)&lt;0,0,(D27-C27))</f>
        <v>596</v>
      </c>
      <c r="F27" s="1"/>
      <c r="G27" s="204">
        <f>H26</f>
        <v>18324</v>
      </c>
      <c r="H27" s="503">
        <v>22106</v>
      </c>
      <c r="I27" s="26">
        <f>IF((H27-G27)&lt;0,0,(H27-G27))</f>
        <v>3782</v>
      </c>
      <c r="J27" s="1"/>
      <c r="K27" s="204">
        <f t="shared" ref="K27:K28" si="6">I27+E27+K26</f>
        <v>14069</v>
      </c>
    </row>
    <row r="28" spans="1:12">
      <c r="A28" s="73"/>
      <c r="B28" s="498" t="s">
        <v>314</v>
      </c>
      <c r="C28" s="499">
        <f>D27</f>
        <v>33404</v>
      </c>
      <c r="D28" s="500">
        <v>34058</v>
      </c>
      <c r="E28" s="501">
        <f t="shared" ref="E28:E33" si="7">IF((D28-C28)&lt;0,0,(D28-C28))</f>
        <v>654</v>
      </c>
      <c r="F28" s="1"/>
      <c r="G28" s="499">
        <f t="shared" ref="G28" si="8">H27</f>
        <v>22106</v>
      </c>
      <c r="H28" s="500">
        <v>25823</v>
      </c>
      <c r="I28" s="72">
        <f t="shared" ref="I28:I33" si="9">IF((H28-G28)&lt;0,0,(H28-G28))</f>
        <v>3717</v>
      </c>
      <c r="J28" s="1"/>
      <c r="K28" s="509">
        <f t="shared" si="6"/>
        <v>18440</v>
      </c>
      <c r="L28" s="523">
        <f>(K28-K23)/K23</f>
        <v>-8.7399782242898155E-2</v>
      </c>
    </row>
    <row r="29" spans="1:12" s="175" customFormat="1">
      <c r="B29" s="511"/>
      <c r="C29" s="512"/>
      <c r="D29" s="512"/>
      <c r="E29" s="513"/>
      <c r="F29" s="514"/>
      <c r="G29" s="512"/>
      <c r="H29" s="512"/>
      <c r="I29" s="174"/>
      <c r="J29" s="514"/>
      <c r="K29" s="512"/>
    </row>
    <row r="30" spans="1:12">
      <c r="A30" s="42" t="s">
        <v>306</v>
      </c>
      <c r="B30" s="504" t="s">
        <v>315</v>
      </c>
      <c r="C30" s="505">
        <f>D28</f>
        <v>34058</v>
      </c>
      <c r="D30" s="506"/>
      <c r="E30" s="507">
        <f t="shared" si="7"/>
        <v>0</v>
      </c>
      <c r="F30" s="1"/>
      <c r="G30" s="505">
        <f>H28</f>
        <v>25823</v>
      </c>
      <c r="H30" s="506"/>
      <c r="I30" s="505">
        <f t="shared" si="9"/>
        <v>0</v>
      </c>
      <c r="J30" s="1"/>
      <c r="K30" s="505">
        <f>I30+E30</f>
        <v>0</v>
      </c>
    </row>
    <row r="31" spans="1:12">
      <c r="A31" s="495" t="s">
        <v>256</v>
      </c>
      <c r="B31" s="502"/>
      <c r="C31" s="204"/>
      <c r="D31" s="503"/>
      <c r="E31" s="508">
        <f t="shared" si="7"/>
        <v>0</v>
      </c>
      <c r="F31" s="1"/>
      <c r="G31" s="204"/>
      <c r="H31" s="503"/>
      <c r="I31" s="26">
        <f t="shared" si="9"/>
        <v>0</v>
      </c>
      <c r="J31" s="1"/>
      <c r="K31" s="204">
        <f>I31+E31+K30</f>
        <v>0</v>
      </c>
    </row>
    <row r="32" spans="1:12">
      <c r="A32" s="495"/>
      <c r="B32" s="502"/>
      <c r="C32" s="204"/>
      <c r="D32" s="503"/>
      <c r="E32" s="508">
        <f t="shared" si="7"/>
        <v>0</v>
      </c>
      <c r="F32" s="1"/>
      <c r="G32" s="204"/>
      <c r="H32" s="503"/>
      <c r="I32" s="26">
        <f t="shared" si="9"/>
        <v>0</v>
      </c>
      <c r="J32" s="1"/>
      <c r="K32" s="204">
        <f t="shared" ref="K32:K33" si="10">I32+E32+K31</f>
        <v>0</v>
      </c>
    </row>
    <row r="33" spans="1:12">
      <c r="A33" s="73"/>
      <c r="B33" s="498"/>
      <c r="C33" s="499"/>
      <c r="D33" s="500"/>
      <c r="E33" s="501">
        <f t="shared" si="7"/>
        <v>0</v>
      </c>
      <c r="F33" s="1"/>
      <c r="G33" s="499"/>
      <c r="H33" s="500"/>
      <c r="I33" s="72">
        <f t="shared" si="9"/>
        <v>0</v>
      </c>
      <c r="J33" s="1"/>
      <c r="K33" s="509">
        <f t="shared" si="10"/>
        <v>0</v>
      </c>
      <c r="L33" s="523">
        <f>(K33-K28)/K28</f>
        <v>-1</v>
      </c>
    </row>
    <row r="35" spans="1:12">
      <c r="K35" t="s">
        <v>316</v>
      </c>
    </row>
  </sheetData>
  <mergeCells count="1">
    <mergeCell ref="B1:L3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D7A1-2910-4822-8F2D-4AA718B95B4B}">
  <sheetPr>
    <tabColor rgb="FF00B050"/>
    <pageSetUpPr fitToPage="1"/>
  </sheetPr>
  <dimension ref="A1:N16"/>
  <sheetViews>
    <sheetView showGridLines="0" zoomScale="85" zoomScaleNormal="85" workbookViewId="0">
      <pane ySplit="7" topLeftCell="A8" activePane="bottomLeft" state="frozen"/>
      <selection pane="bottomLeft" activeCell="J16" sqref="J16"/>
    </sheetView>
  </sheetViews>
  <sheetFormatPr defaultColWidth="11.42578125" defaultRowHeight="15"/>
  <cols>
    <col min="1" max="1" width="18.140625" customWidth="1"/>
    <col min="2" max="2" width="26.140625" bestFit="1" customWidth="1"/>
    <col min="3" max="3" width="32.7109375" customWidth="1"/>
    <col min="4" max="4" width="26.85546875" customWidth="1"/>
    <col min="5" max="5" width="19.85546875" customWidth="1"/>
    <col min="6" max="9" width="12" customWidth="1"/>
    <col min="10" max="10" width="44.7109375" customWidth="1"/>
    <col min="246" max="246" width="18.140625" customWidth="1"/>
    <col min="247" max="247" width="46.140625" customWidth="1"/>
    <col min="248" max="248" width="10" customWidth="1"/>
    <col min="249" max="249" width="12.42578125" customWidth="1"/>
    <col min="250" max="250" width="16.140625" customWidth="1"/>
    <col min="251" max="251" width="25.28515625" customWidth="1"/>
    <col min="252" max="253" width="13.7109375" customWidth="1"/>
    <col min="254" max="254" width="12.140625" customWidth="1"/>
    <col min="255" max="255" width="9.7109375" customWidth="1"/>
    <col min="256" max="258" width="12.140625" customWidth="1"/>
    <col min="259" max="259" width="0" hidden="1" customWidth="1"/>
    <col min="260" max="265" width="12.140625" customWidth="1"/>
    <col min="502" max="502" width="18.140625" customWidth="1"/>
    <col min="503" max="503" width="46.140625" customWidth="1"/>
    <col min="504" max="504" width="10" customWidth="1"/>
    <col min="505" max="505" width="12.42578125" customWidth="1"/>
    <col min="506" max="506" width="16.140625" customWidth="1"/>
    <col min="507" max="507" width="25.28515625" customWidth="1"/>
    <col min="508" max="509" width="13.7109375" customWidth="1"/>
    <col min="510" max="510" width="12.140625" customWidth="1"/>
    <col min="511" max="511" width="9.7109375" customWidth="1"/>
    <col min="512" max="514" width="12.140625" customWidth="1"/>
    <col min="515" max="515" width="0" hidden="1" customWidth="1"/>
    <col min="516" max="521" width="12.140625" customWidth="1"/>
    <col min="758" max="758" width="18.140625" customWidth="1"/>
    <col min="759" max="759" width="46.140625" customWidth="1"/>
    <col min="760" max="760" width="10" customWidth="1"/>
    <col min="761" max="761" width="12.42578125" customWidth="1"/>
    <col min="762" max="762" width="16.140625" customWidth="1"/>
    <col min="763" max="763" width="25.28515625" customWidth="1"/>
    <col min="764" max="765" width="13.7109375" customWidth="1"/>
    <col min="766" max="766" width="12.140625" customWidth="1"/>
    <col min="767" max="767" width="9.7109375" customWidth="1"/>
    <col min="768" max="770" width="12.140625" customWidth="1"/>
    <col min="771" max="771" width="0" hidden="1" customWidth="1"/>
    <col min="772" max="777" width="12.140625" customWidth="1"/>
    <col min="1014" max="1014" width="18.140625" customWidth="1"/>
    <col min="1015" max="1015" width="46.140625" customWidth="1"/>
    <col min="1016" max="1016" width="10" customWidth="1"/>
    <col min="1017" max="1017" width="12.42578125" customWidth="1"/>
    <col min="1018" max="1018" width="16.140625" customWidth="1"/>
    <col min="1019" max="1019" width="25.28515625" customWidth="1"/>
    <col min="1020" max="1021" width="13.7109375" customWidth="1"/>
    <col min="1022" max="1022" width="12.140625" customWidth="1"/>
    <col min="1023" max="1023" width="9.7109375" customWidth="1"/>
    <col min="1024" max="1026" width="12.140625" customWidth="1"/>
    <col min="1027" max="1027" width="0" hidden="1" customWidth="1"/>
    <col min="1028" max="1033" width="12.140625" customWidth="1"/>
    <col min="1270" max="1270" width="18.140625" customWidth="1"/>
    <col min="1271" max="1271" width="46.140625" customWidth="1"/>
    <col min="1272" max="1272" width="10" customWidth="1"/>
    <col min="1273" max="1273" width="12.42578125" customWidth="1"/>
    <col min="1274" max="1274" width="16.140625" customWidth="1"/>
    <col min="1275" max="1275" width="25.28515625" customWidth="1"/>
    <col min="1276" max="1277" width="13.7109375" customWidth="1"/>
    <col min="1278" max="1278" width="12.140625" customWidth="1"/>
    <col min="1279" max="1279" width="9.7109375" customWidth="1"/>
    <col min="1280" max="1282" width="12.140625" customWidth="1"/>
    <col min="1283" max="1283" width="0" hidden="1" customWidth="1"/>
    <col min="1284" max="1289" width="12.140625" customWidth="1"/>
    <col min="1526" max="1526" width="18.140625" customWidth="1"/>
    <col min="1527" max="1527" width="46.140625" customWidth="1"/>
    <col min="1528" max="1528" width="10" customWidth="1"/>
    <col min="1529" max="1529" width="12.42578125" customWidth="1"/>
    <col min="1530" max="1530" width="16.140625" customWidth="1"/>
    <col min="1531" max="1531" width="25.28515625" customWidth="1"/>
    <col min="1532" max="1533" width="13.7109375" customWidth="1"/>
    <col min="1534" max="1534" width="12.140625" customWidth="1"/>
    <col min="1535" max="1535" width="9.7109375" customWidth="1"/>
    <col min="1536" max="1538" width="12.140625" customWidth="1"/>
    <col min="1539" max="1539" width="0" hidden="1" customWidth="1"/>
    <col min="1540" max="1545" width="12.140625" customWidth="1"/>
    <col min="1782" max="1782" width="18.140625" customWidth="1"/>
    <col min="1783" max="1783" width="46.140625" customWidth="1"/>
    <col min="1784" max="1784" width="10" customWidth="1"/>
    <col min="1785" max="1785" width="12.42578125" customWidth="1"/>
    <col min="1786" max="1786" width="16.140625" customWidth="1"/>
    <col min="1787" max="1787" width="25.28515625" customWidth="1"/>
    <col min="1788" max="1789" width="13.7109375" customWidth="1"/>
    <col min="1790" max="1790" width="12.140625" customWidth="1"/>
    <col min="1791" max="1791" width="9.7109375" customWidth="1"/>
    <col min="1792" max="1794" width="12.140625" customWidth="1"/>
    <col min="1795" max="1795" width="0" hidden="1" customWidth="1"/>
    <col min="1796" max="1801" width="12.140625" customWidth="1"/>
    <col min="2038" max="2038" width="18.140625" customWidth="1"/>
    <col min="2039" max="2039" width="46.140625" customWidth="1"/>
    <col min="2040" max="2040" width="10" customWidth="1"/>
    <col min="2041" max="2041" width="12.42578125" customWidth="1"/>
    <col min="2042" max="2042" width="16.140625" customWidth="1"/>
    <col min="2043" max="2043" width="25.28515625" customWidth="1"/>
    <col min="2044" max="2045" width="13.7109375" customWidth="1"/>
    <col min="2046" max="2046" width="12.140625" customWidth="1"/>
    <col min="2047" max="2047" width="9.7109375" customWidth="1"/>
    <col min="2048" max="2050" width="12.140625" customWidth="1"/>
    <col min="2051" max="2051" width="0" hidden="1" customWidth="1"/>
    <col min="2052" max="2057" width="12.140625" customWidth="1"/>
    <col min="2294" max="2294" width="18.140625" customWidth="1"/>
    <col min="2295" max="2295" width="46.140625" customWidth="1"/>
    <col min="2296" max="2296" width="10" customWidth="1"/>
    <col min="2297" max="2297" width="12.42578125" customWidth="1"/>
    <col min="2298" max="2298" width="16.140625" customWidth="1"/>
    <col min="2299" max="2299" width="25.28515625" customWidth="1"/>
    <col min="2300" max="2301" width="13.7109375" customWidth="1"/>
    <col min="2302" max="2302" width="12.140625" customWidth="1"/>
    <col min="2303" max="2303" width="9.7109375" customWidth="1"/>
    <col min="2304" max="2306" width="12.140625" customWidth="1"/>
    <col min="2307" max="2307" width="0" hidden="1" customWidth="1"/>
    <col min="2308" max="2313" width="12.140625" customWidth="1"/>
    <col min="2550" max="2550" width="18.140625" customWidth="1"/>
    <col min="2551" max="2551" width="46.140625" customWidth="1"/>
    <col min="2552" max="2552" width="10" customWidth="1"/>
    <col min="2553" max="2553" width="12.42578125" customWidth="1"/>
    <col min="2554" max="2554" width="16.140625" customWidth="1"/>
    <col min="2555" max="2555" width="25.28515625" customWidth="1"/>
    <col min="2556" max="2557" width="13.7109375" customWidth="1"/>
    <col min="2558" max="2558" width="12.140625" customWidth="1"/>
    <col min="2559" max="2559" width="9.7109375" customWidth="1"/>
    <col min="2560" max="2562" width="12.140625" customWidth="1"/>
    <col min="2563" max="2563" width="0" hidden="1" customWidth="1"/>
    <col min="2564" max="2569" width="12.140625" customWidth="1"/>
    <col min="2806" max="2806" width="18.140625" customWidth="1"/>
    <col min="2807" max="2807" width="46.140625" customWidth="1"/>
    <col min="2808" max="2808" width="10" customWidth="1"/>
    <col min="2809" max="2809" width="12.42578125" customWidth="1"/>
    <col min="2810" max="2810" width="16.140625" customWidth="1"/>
    <col min="2811" max="2811" width="25.28515625" customWidth="1"/>
    <col min="2812" max="2813" width="13.7109375" customWidth="1"/>
    <col min="2814" max="2814" width="12.140625" customWidth="1"/>
    <col min="2815" max="2815" width="9.7109375" customWidth="1"/>
    <col min="2816" max="2818" width="12.140625" customWidth="1"/>
    <col min="2819" max="2819" width="0" hidden="1" customWidth="1"/>
    <col min="2820" max="2825" width="12.140625" customWidth="1"/>
    <col min="3062" max="3062" width="18.140625" customWidth="1"/>
    <col min="3063" max="3063" width="46.140625" customWidth="1"/>
    <col min="3064" max="3064" width="10" customWidth="1"/>
    <col min="3065" max="3065" width="12.42578125" customWidth="1"/>
    <col min="3066" max="3066" width="16.140625" customWidth="1"/>
    <col min="3067" max="3067" width="25.28515625" customWidth="1"/>
    <col min="3068" max="3069" width="13.7109375" customWidth="1"/>
    <col min="3070" max="3070" width="12.140625" customWidth="1"/>
    <col min="3071" max="3071" width="9.7109375" customWidth="1"/>
    <col min="3072" max="3074" width="12.140625" customWidth="1"/>
    <col min="3075" max="3075" width="0" hidden="1" customWidth="1"/>
    <col min="3076" max="3081" width="12.140625" customWidth="1"/>
    <col min="3318" max="3318" width="18.140625" customWidth="1"/>
    <col min="3319" max="3319" width="46.140625" customWidth="1"/>
    <col min="3320" max="3320" width="10" customWidth="1"/>
    <col min="3321" max="3321" width="12.42578125" customWidth="1"/>
    <col min="3322" max="3322" width="16.140625" customWidth="1"/>
    <col min="3323" max="3323" width="25.28515625" customWidth="1"/>
    <col min="3324" max="3325" width="13.7109375" customWidth="1"/>
    <col min="3326" max="3326" width="12.140625" customWidth="1"/>
    <col min="3327" max="3327" width="9.7109375" customWidth="1"/>
    <col min="3328" max="3330" width="12.140625" customWidth="1"/>
    <col min="3331" max="3331" width="0" hidden="1" customWidth="1"/>
    <col min="3332" max="3337" width="12.140625" customWidth="1"/>
    <col min="3574" max="3574" width="18.140625" customWidth="1"/>
    <col min="3575" max="3575" width="46.140625" customWidth="1"/>
    <col min="3576" max="3576" width="10" customWidth="1"/>
    <col min="3577" max="3577" width="12.42578125" customWidth="1"/>
    <col min="3578" max="3578" width="16.140625" customWidth="1"/>
    <col min="3579" max="3579" width="25.28515625" customWidth="1"/>
    <col min="3580" max="3581" width="13.7109375" customWidth="1"/>
    <col min="3582" max="3582" width="12.140625" customWidth="1"/>
    <col min="3583" max="3583" width="9.7109375" customWidth="1"/>
    <col min="3584" max="3586" width="12.140625" customWidth="1"/>
    <col min="3587" max="3587" width="0" hidden="1" customWidth="1"/>
    <col min="3588" max="3593" width="12.140625" customWidth="1"/>
    <col min="3830" max="3830" width="18.140625" customWidth="1"/>
    <col min="3831" max="3831" width="46.140625" customWidth="1"/>
    <col min="3832" max="3832" width="10" customWidth="1"/>
    <col min="3833" max="3833" width="12.42578125" customWidth="1"/>
    <col min="3834" max="3834" width="16.140625" customWidth="1"/>
    <col min="3835" max="3835" width="25.28515625" customWidth="1"/>
    <col min="3836" max="3837" width="13.7109375" customWidth="1"/>
    <col min="3838" max="3838" width="12.140625" customWidth="1"/>
    <col min="3839" max="3839" width="9.7109375" customWidth="1"/>
    <col min="3840" max="3842" width="12.140625" customWidth="1"/>
    <col min="3843" max="3843" width="0" hidden="1" customWidth="1"/>
    <col min="3844" max="3849" width="12.140625" customWidth="1"/>
    <col min="4086" max="4086" width="18.140625" customWidth="1"/>
    <col min="4087" max="4087" width="46.140625" customWidth="1"/>
    <col min="4088" max="4088" width="10" customWidth="1"/>
    <col min="4089" max="4089" width="12.42578125" customWidth="1"/>
    <col min="4090" max="4090" width="16.140625" customWidth="1"/>
    <col min="4091" max="4091" width="25.28515625" customWidth="1"/>
    <col min="4092" max="4093" width="13.7109375" customWidth="1"/>
    <col min="4094" max="4094" width="12.140625" customWidth="1"/>
    <col min="4095" max="4095" width="9.7109375" customWidth="1"/>
    <col min="4096" max="4098" width="12.140625" customWidth="1"/>
    <col min="4099" max="4099" width="0" hidden="1" customWidth="1"/>
    <col min="4100" max="4105" width="12.140625" customWidth="1"/>
    <col min="4342" max="4342" width="18.140625" customWidth="1"/>
    <col min="4343" max="4343" width="46.140625" customWidth="1"/>
    <col min="4344" max="4344" width="10" customWidth="1"/>
    <col min="4345" max="4345" width="12.42578125" customWidth="1"/>
    <col min="4346" max="4346" width="16.140625" customWidth="1"/>
    <col min="4347" max="4347" width="25.28515625" customWidth="1"/>
    <col min="4348" max="4349" width="13.7109375" customWidth="1"/>
    <col min="4350" max="4350" width="12.140625" customWidth="1"/>
    <col min="4351" max="4351" width="9.7109375" customWidth="1"/>
    <col min="4352" max="4354" width="12.140625" customWidth="1"/>
    <col min="4355" max="4355" width="0" hidden="1" customWidth="1"/>
    <col min="4356" max="4361" width="12.140625" customWidth="1"/>
    <col min="4598" max="4598" width="18.140625" customWidth="1"/>
    <col min="4599" max="4599" width="46.140625" customWidth="1"/>
    <col min="4600" max="4600" width="10" customWidth="1"/>
    <col min="4601" max="4601" width="12.42578125" customWidth="1"/>
    <col min="4602" max="4602" width="16.140625" customWidth="1"/>
    <col min="4603" max="4603" width="25.28515625" customWidth="1"/>
    <col min="4604" max="4605" width="13.7109375" customWidth="1"/>
    <col min="4606" max="4606" width="12.140625" customWidth="1"/>
    <col min="4607" max="4607" width="9.7109375" customWidth="1"/>
    <col min="4608" max="4610" width="12.140625" customWidth="1"/>
    <col min="4611" max="4611" width="0" hidden="1" customWidth="1"/>
    <col min="4612" max="4617" width="12.140625" customWidth="1"/>
    <col min="4854" max="4854" width="18.140625" customWidth="1"/>
    <col min="4855" max="4855" width="46.140625" customWidth="1"/>
    <col min="4856" max="4856" width="10" customWidth="1"/>
    <col min="4857" max="4857" width="12.42578125" customWidth="1"/>
    <col min="4858" max="4858" width="16.140625" customWidth="1"/>
    <col min="4859" max="4859" width="25.28515625" customWidth="1"/>
    <col min="4860" max="4861" width="13.7109375" customWidth="1"/>
    <col min="4862" max="4862" width="12.140625" customWidth="1"/>
    <col min="4863" max="4863" width="9.7109375" customWidth="1"/>
    <col min="4864" max="4866" width="12.140625" customWidth="1"/>
    <col min="4867" max="4867" width="0" hidden="1" customWidth="1"/>
    <col min="4868" max="4873" width="12.140625" customWidth="1"/>
    <col min="5110" max="5110" width="18.140625" customWidth="1"/>
    <col min="5111" max="5111" width="46.140625" customWidth="1"/>
    <col min="5112" max="5112" width="10" customWidth="1"/>
    <col min="5113" max="5113" width="12.42578125" customWidth="1"/>
    <col min="5114" max="5114" width="16.140625" customWidth="1"/>
    <col min="5115" max="5115" width="25.28515625" customWidth="1"/>
    <col min="5116" max="5117" width="13.7109375" customWidth="1"/>
    <col min="5118" max="5118" width="12.140625" customWidth="1"/>
    <col min="5119" max="5119" width="9.7109375" customWidth="1"/>
    <col min="5120" max="5122" width="12.140625" customWidth="1"/>
    <col min="5123" max="5123" width="0" hidden="1" customWidth="1"/>
    <col min="5124" max="5129" width="12.140625" customWidth="1"/>
    <col min="5366" max="5366" width="18.140625" customWidth="1"/>
    <col min="5367" max="5367" width="46.140625" customWidth="1"/>
    <col min="5368" max="5368" width="10" customWidth="1"/>
    <col min="5369" max="5369" width="12.42578125" customWidth="1"/>
    <col min="5370" max="5370" width="16.140625" customWidth="1"/>
    <col min="5371" max="5371" width="25.28515625" customWidth="1"/>
    <col min="5372" max="5373" width="13.7109375" customWidth="1"/>
    <col min="5374" max="5374" width="12.140625" customWidth="1"/>
    <col min="5375" max="5375" width="9.7109375" customWidth="1"/>
    <col min="5376" max="5378" width="12.140625" customWidth="1"/>
    <col min="5379" max="5379" width="0" hidden="1" customWidth="1"/>
    <col min="5380" max="5385" width="12.140625" customWidth="1"/>
    <col min="5622" max="5622" width="18.140625" customWidth="1"/>
    <col min="5623" max="5623" width="46.140625" customWidth="1"/>
    <col min="5624" max="5624" width="10" customWidth="1"/>
    <col min="5625" max="5625" width="12.42578125" customWidth="1"/>
    <col min="5626" max="5626" width="16.140625" customWidth="1"/>
    <col min="5627" max="5627" width="25.28515625" customWidth="1"/>
    <col min="5628" max="5629" width="13.7109375" customWidth="1"/>
    <col min="5630" max="5630" width="12.140625" customWidth="1"/>
    <col min="5631" max="5631" width="9.7109375" customWidth="1"/>
    <col min="5632" max="5634" width="12.140625" customWidth="1"/>
    <col min="5635" max="5635" width="0" hidden="1" customWidth="1"/>
    <col min="5636" max="5641" width="12.140625" customWidth="1"/>
    <col min="5878" max="5878" width="18.140625" customWidth="1"/>
    <col min="5879" max="5879" width="46.140625" customWidth="1"/>
    <col min="5880" max="5880" width="10" customWidth="1"/>
    <col min="5881" max="5881" width="12.42578125" customWidth="1"/>
    <col min="5882" max="5882" width="16.140625" customWidth="1"/>
    <col min="5883" max="5883" width="25.28515625" customWidth="1"/>
    <col min="5884" max="5885" width="13.7109375" customWidth="1"/>
    <col min="5886" max="5886" width="12.140625" customWidth="1"/>
    <col min="5887" max="5887" width="9.7109375" customWidth="1"/>
    <col min="5888" max="5890" width="12.140625" customWidth="1"/>
    <col min="5891" max="5891" width="0" hidden="1" customWidth="1"/>
    <col min="5892" max="5897" width="12.140625" customWidth="1"/>
    <col min="6134" max="6134" width="18.140625" customWidth="1"/>
    <col min="6135" max="6135" width="46.140625" customWidth="1"/>
    <col min="6136" max="6136" width="10" customWidth="1"/>
    <col min="6137" max="6137" width="12.42578125" customWidth="1"/>
    <col min="6138" max="6138" width="16.140625" customWidth="1"/>
    <col min="6139" max="6139" width="25.28515625" customWidth="1"/>
    <col min="6140" max="6141" width="13.7109375" customWidth="1"/>
    <col min="6142" max="6142" width="12.140625" customWidth="1"/>
    <col min="6143" max="6143" width="9.7109375" customWidth="1"/>
    <col min="6144" max="6146" width="12.140625" customWidth="1"/>
    <col min="6147" max="6147" width="0" hidden="1" customWidth="1"/>
    <col min="6148" max="6153" width="12.140625" customWidth="1"/>
    <col min="6390" max="6390" width="18.140625" customWidth="1"/>
    <col min="6391" max="6391" width="46.140625" customWidth="1"/>
    <col min="6392" max="6392" width="10" customWidth="1"/>
    <col min="6393" max="6393" width="12.42578125" customWidth="1"/>
    <col min="6394" max="6394" width="16.140625" customWidth="1"/>
    <col min="6395" max="6395" width="25.28515625" customWidth="1"/>
    <col min="6396" max="6397" width="13.7109375" customWidth="1"/>
    <col min="6398" max="6398" width="12.140625" customWidth="1"/>
    <col min="6399" max="6399" width="9.7109375" customWidth="1"/>
    <col min="6400" max="6402" width="12.140625" customWidth="1"/>
    <col min="6403" max="6403" width="0" hidden="1" customWidth="1"/>
    <col min="6404" max="6409" width="12.140625" customWidth="1"/>
    <col min="6646" max="6646" width="18.140625" customWidth="1"/>
    <col min="6647" max="6647" width="46.140625" customWidth="1"/>
    <col min="6648" max="6648" width="10" customWidth="1"/>
    <col min="6649" max="6649" width="12.42578125" customWidth="1"/>
    <col min="6650" max="6650" width="16.140625" customWidth="1"/>
    <col min="6651" max="6651" width="25.28515625" customWidth="1"/>
    <col min="6652" max="6653" width="13.7109375" customWidth="1"/>
    <col min="6654" max="6654" width="12.140625" customWidth="1"/>
    <col min="6655" max="6655" width="9.7109375" customWidth="1"/>
    <col min="6656" max="6658" width="12.140625" customWidth="1"/>
    <col min="6659" max="6659" width="0" hidden="1" customWidth="1"/>
    <col min="6660" max="6665" width="12.140625" customWidth="1"/>
    <col min="6902" max="6902" width="18.140625" customWidth="1"/>
    <col min="6903" max="6903" width="46.140625" customWidth="1"/>
    <col min="6904" max="6904" width="10" customWidth="1"/>
    <col min="6905" max="6905" width="12.42578125" customWidth="1"/>
    <col min="6906" max="6906" width="16.140625" customWidth="1"/>
    <col min="6907" max="6907" width="25.28515625" customWidth="1"/>
    <col min="6908" max="6909" width="13.7109375" customWidth="1"/>
    <col min="6910" max="6910" width="12.140625" customWidth="1"/>
    <col min="6911" max="6911" width="9.7109375" customWidth="1"/>
    <col min="6912" max="6914" width="12.140625" customWidth="1"/>
    <col min="6915" max="6915" width="0" hidden="1" customWidth="1"/>
    <col min="6916" max="6921" width="12.140625" customWidth="1"/>
    <col min="7158" max="7158" width="18.140625" customWidth="1"/>
    <col min="7159" max="7159" width="46.140625" customWidth="1"/>
    <col min="7160" max="7160" width="10" customWidth="1"/>
    <col min="7161" max="7161" width="12.42578125" customWidth="1"/>
    <col min="7162" max="7162" width="16.140625" customWidth="1"/>
    <col min="7163" max="7163" width="25.28515625" customWidth="1"/>
    <col min="7164" max="7165" width="13.7109375" customWidth="1"/>
    <col min="7166" max="7166" width="12.140625" customWidth="1"/>
    <col min="7167" max="7167" width="9.7109375" customWidth="1"/>
    <col min="7168" max="7170" width="12.140625" customWidth="1"/>
    <col min="7171" max="7171" width="0" hidden="1" customWidth="1"/>
    <col min="7172" max="7177" width="12.140625" customWidth="1"/>
    <col min="7414" max="7414" width="18.140625" customWidth="1"/>
    <col min="7415" max="7415" width="46.140625" customWidth="1"/>
    <col min="7416" max="7416" width="10" customWidth="1"/>
    <col min="7417" max="7417" width="12.42578125" customWidth="1"/>
    <col min="7418" max="7418" width="16.140625" customWidth="1"/>
    <col min="7419" max="7419" width="25.28515625" customWidth="1"/>
    <col min="7420" max="7421" width="13.7109375" customWidth="1"/>
    <col min="7422" max="7422" width="12.140625" customWidth="1"/>
    <col min="7423" max="7423" width="9.7109375" customWidth="1"/>
    <col min="7424" max="7426" width="12.140625" customWidth="1"/>
    <col min="7427" max="7427" width="0" hidden="1" customWidth="1"/>
    <col min="7428" max="7433" width="12.140625" customWidth="1"/>
    <col min="7670" max="7670" width="18.140625" customWidth="1"/>
    <col min="7671" max="7671" width="46.140625" customWidth="1"/>
    <col min="7672" max="7672" width="10" customWidth="1"/>
    <col min="7673" max="7673" width="12.42578125" customWidth="1"/>
    <col min="7674" max="7674" width="16.140625" customWidth="1"/>
    <col min="7675" max="7675" width="25.28515625" customWidth="1"/>
    <col min="7676" max="7677" width="13.7109375" customWidth="1"/>
    <col min="7678" max="7678" width="12.140625" customWidth="1"/>
    <col min="7679" max="7679" width="9.7109375" customWidth="1"/>
    <col min="7680" max="7682" width="12.140625" customWidth="1"/>
    <col min="7683" max="7683" width="0" hidden="1" customWidth="1"/>
    <col min="7684" max="7689" width="12.140625" customWidth="1"/>
    <col min="7926" max="7926" width="18.140625" customWidth="1"/>
    <col min="7927" max="7927" width="46.140625" customWidth="1"/>
    <col min="7928" max="7928" width="10" customWidth="1"/>
    <col min="7929" max="7929" width="12.42578125" customWidth="1"/>
    <col min="7930" max="7930" width="16.140625" customWidth="1"/>
    <col min="7931" max="7931" width="25.28515625" customWidth="1"/>
    <col min="7932" max="7933" width="13.7109375" customWidth="1"/>
    <col min="7934" max="7934" width="12.140625" customWidth="1"/>
    <col min="7935" max="7935" width="9.7109375" customWidth="1"/>
    <col min="7936" max="7938" width="12.140625" customWidth="1"/>
    <col min="7939" max="7939" width="0" hidden="1" customWidth="1"/>
    <col min="7940" max="7945" width="12.140625" customWidth="1"/>
    <col min="8182" max="8182" width="18.140625" customWidth="1"/>
    <col min="8183" max="8183" width="46.140625" customWidth="1"/>
    <col min="8184" max="8184" width="10" customWidth="1"/>
    <col min="8185" max="8185" width="12.42578125" customWidth="1"/>
    <col min="8186" max="8186" width="16.140625" customWidth="1"/>
    <col min="8187" max="8187" width="25.28515625" customWidth="1"/>
    <col min="8188" max="8189" width="13.7109375" customWidth="1"/>
    <col min="8190" max="8190" width="12.140625" customWidth="1"/>
    <col min="8191" max="8191" width="9.7109375" customWidth="1"/>
    <col min="8192" max="8194" width="12.140625" customWidth="1"/>
    <col min="8195" max="8195" width="0" hidden="1" customWidth="1"/>
    <col min="8196" max="8201" width="12.140625" customWidth="1"/>
    <col min="8438" max="8438" width="18.140625" customWidth="1"/>
    <col min="8439" max="8439" width="46.140625" customWidth="1"/>
    <col min="8440" max="8440" width="10" customWidth="1"/>
    <col min="8441" max="8441" width="12.42578125" customWidth="1"/>
    <col min="8442" max="8442" width="16.140625" customWidth="1"/>
    <col min="8443" max="8443" width="25.28515625" customWidth="1"/>
    <col min="8444" max="8445" width="13.7109375" customWidth="1"/>
    <col min="8446" max="8446" width="12.140625" customWidth="1"/>
    <col min="8447" max="8447" width="9.7109375" customWidth="1"/>
    <col min="8448" max="8450" width="12.140625" customWidth="1"/>
    <col min="8451" max="8451" width="0" hidden="1" customWidth="1"/>
    <col min="8452" max="8457" width="12.140625" customWidth="1"/>
    <col min="8694" max="8694" width="18.140625" customWidth="1"/>
    <col min="8695" max="8695" width="46.140625" customWidth="1"/>
    <col min="8696" max="8696" width="10" customWidth="1"/>
    <col min="8697" max="8697" width="12.42578125" customWidth="1"/>
    <col min="8698" max="8698" width="16.140625" customWidth="1"/>
    <col min="8699" max="8699" width="25.28515625" customWidth="1"/>
    <col min="8700" max="8701" width="13.7109375" customWidth="1"/>
    <col min="8702" max="8702" width="12.140625" customWidth="1"/>
    <col min="8703" max="8703" width="9.7109375" customWidth="1"/>
    <col min="8704" max="8706" width="12.140625" customWidth="1"/>
    <col min="8707" max="8707" width="0" hidden="1" customWidth="1"/>
    <col min="8708" max="8713" width="12.140625" customWidth="1"/>
    <col min="8950" max="8950" width="18.140625" customWidth="1"/>
    <col min="8951" max="8951" width="46.140625" customWidth="1"/>
    <col min="8952" max="8952" width="10" customWidth="1"/>
    <col min="8953" max="8953" width="12.42578125" customWidth="1"/>
    <col min="8954" max="8954" width="16.140625" customWidth="1"/>
    <col min="8955" max="8955" width="25.28515625" customWidth="1"/>
    <col min="8956" max="8957" width="13.7109375" customWidth="1"/>
    <col min="8958" max="8958" width="12.140625" customWidth="1"/>
    <col min="8959" max="8959" width="9.7109375" customWidth="1"/>
    <col min="8960" max="8962" width="12.140625" customWidth="1"/>
    <col min="8963" max="8963" width="0" hidden="1" customWidth="1"/>
    <col min="8964" max="8969" width="12.140625" customWidth="1"/>
    <col min="9206" max="9206" width="18.140625" customWidth="1"/>
    <col min="9207" max="9207" width="46.140625" customWidth="1"/>
    <col min="9208" max="9208" width="10" customWidth="1"/>
    <col min="9209" max="9209" width="12.42578125" customWidth="1"/>
    <col min="9210" max="9210" width="16.140625" customWidth="1"/>
    <col min="9211" max="9211" width="25.28515625" customWidth="1"/>
    <col min="9212" max="9213" width="13.7109375" customWidth="1"/>
    <col min="9214" max="9214" width="12.140625" customWidth="1"/>
    <col min="9215" max="9215" width="9.7109375" customWidth="1"/>
    <col min="9216" max="9218" width="12.140625" customWidth="1"/>
    <col min="9219" max="9219" width="0" hidden="1" customWidth="1"/>
    <col min="9220" max="9225" width="12.140625" customWidth="1"/>
    <col min="9462" max="9462" width="18.140625" customWidth="1"/>
    <col min="9463" max="9463" width="46.140625" customWidth="1"/>
    <col min="9464" max="9464" width="10" customWidth="1"/>
    <col min="9465" max="9465" width="12.42578125" customWidth="1"/>
    <col min="9466" max="9466" width="16.140625" customWidth="1"/>
    <col min="9467" max="9467" width="25.28515625" customWidth="1"/>
    <col min="9468" max="9469" width="13.7109375" customWidth="1"/>
    <col min="9470" max="9470" width="12.140625" customWidth="1"/>
    <col min="9471" max="9471" width="9.7109375" customWidth="1"/>
    <col min="9472" max="9474" width="12.140625" customWidth="1"/>
    <col min="9475" max="9475" width="0" hidden="1" customWidth="1"/>
    <col min="9476" max="9481" width="12.140625" customWidth="1"/>
    <col min="9718" max="9718" width="18.140625" customWidth="1"/>
    <col min="9719" max="9719" width="46.140625" customWidth="1"/>
    <col min="9720" max="9720" width="10" customWidth="1"/>
    <col min="9721" max="9721" width="12.42578125" customWidth="1"/>
    <col min="9722" max="9722" width="16.140625" customWidth="1"/>
    <col min="9723" max="9723" width="25.28515625" customWidth="1"/>
    <col min="9724" max="9725" width="13.7109375" customWidth="1"/>
    <col min="9726" max="9726" width="12.140625" customWidth="1"/>
    <col min="9727" max="9727" width="9.7109375" customWidth="1"/>
    <col min="9728" max="9730" width="12.140625" customWidth="1"/>
    <col min="9731" max="9731" width="0" hidden="1" customWidth="1"/>
    <col min="9732" max="9737" width="12.140625" customWidth="1"/>
    <col min="9974" max="9974" width="18.140625" customWidth="1"/>
    <col min="9975" max="9975" width="46.140625" customWidth="1"/>
    <col min="9976" max="9976" width="10" customWidth="1"/>
    <col min="9977" max="9977" width="12.42578125" customWidth="1"/>
    <col min="9978" max="9978" width="16.140625" customWidth="1"/>
    <col min="9979" max="9979" width="25.28515625" customWidth="1"/>
    <col min="9980" max="9981" width="13.7109375" customWidth="1"/>
    <col min="9982" max="9982" width="12.140625" customWidth="1"/>
    <col min="9983" max="9983" width="9.7109375" customWidth="1"/>
    <col min="9984" max="9986" width="12.140625" customWidth="1"/>
    <col min="9987" max="9987" width="0" hidden="1" customWidth="1"/>
    <col min="9988" max="9993" width="12.140625" customWidth="1"/>
    <col min="10230" max="10230" width="18.140625" customWidth="1"/>
    <col min="10231" max="10231" width="46.140625" customWidth="1"/>
    <col min="10232" max="10232" width="10" customWidth="1"/>
    <col min="10233" max="10233" width="12.42578125" customWidth="1"/>
    <col min="10234" max="10234" width="16.140625" customWidth="1"/>
    <col min="10235" max="10235" width="25.28515625" customWidth="1"/>
    <col min="10236" max="10237" width="13.7109375" customWidth="1"/>
    <col min="10238" max="10238" width="12.140625" customWidth="1"/>
    <col min="10239" max="10239" width="9.7109375" customWidth="1"/>
    <col min="10240" max="10242" width="12.140625" customWidth="1"/>
    <col min="10243" max="10243" width="0" hidden="1" customWidth="1"/>
    <col min="10244" max="10249" width="12.140625" customWidth="1"/>
    <col min="10486" max="10486" width="18.140625" customWidth="1"/>
    <col min="10487" max="10487" width="46.140625" customWidth="1"/>
    <col min="10488" max="10488" width="10" customWidth="1"/>
    <col min="10489" max="10489" width="12.42578125" customWidth="1"/>
    <col min="10490" max="10490" width="16.140625" customWidth="1"/>
    <col min="10491" max="10491" width="25.28515625" customWidth="1"/>
    <col min="10492" max="10493" width="13.7109375" customWidth="1"/>
    <col min="10494" max="10494" width="12.140625" customWidth="1"/>
    <col min="10495" max="10495" width="9.7109375" customWidth="1"/>
    <col min="10496" max="10498" width="12.140625" customWidth="1"/>
    <col min="10499" max="10499" width="0" hidden="1" customWidth="1"/>
    <col min="10500" max="10505" width="12.140625" customWidth="1"/>
    <col min="10742" max="10742" width="18.140625" customWidth="1"/>
    <col min="10743" max="10743" width="46.140625" customWidth="1"/>
    <col min="10744" max="10744" width="10" customWidth="1"/>
    <col min="10745" max="10745" width="12.42578125" customWidth="1"/>
    <col min="10746" max="10746" width="16.140625" customWidth="1"/>
    <col min="10747" max="10747" width="25.28515625" customWidth="1"/>
    <col min="10748" max="10749" width="13.7109375" customWidth="1"/>
    <col min="10750" max="10750" width="12.140625" customWidth="1"/>
    <col min="10751" max="10751" width="9.7109375" customWidth="1"/>
    <col min="10752" max="10754" width="12.140625" customWidth="1"/>
    <col min="10755" max="10755" width="0" hidden="1" customWidth="1"/>
    <col min="10756" max="10761" width="12.140625" customWidth="1"/>
    <col min="10998" max="10998" width="18.140625" customWidth="1"/>
    <col min="10999" max="10999" width="46.140625" customWidth="1"/>
    <col min="11000" max="11000" width="10" customWidth="1"/>
    <col min="11001" max="11001" width="12.42578125" customWidth="1"/>
    <col min="11002" max="11002" width="16.140625" customWidth="1"/>
    <col min="11003" max="11003" width="25.28515625" customWidth="1"/>
    <col min="11004" max="11005" width="13.7109375" customWidth="1"/>
    <col min="11006" max="11006" width="12.140625" customWidth="1"/>
    <col min="11007" max="11007" width="9.7109375" customWidth="1"/>
    <col min="11008" max="11010" width="12.140625" customWidth="1"/>
    <col min="11011" max="11011" width="0" hidden="1" customWidth="1"/>
    <col min="11012" max="11017" width="12.140625" customWidth="1"/>
    <col min="11254" max="11254" width="18.140625" customWidth="1"/>
    <col min="11255" max="11255" width="46.140625" customWidth="1"/>
    <col min="11256" max="11256" width="10" customWidth="1"/>
    <col min="11257" max="11257" width="12.42578125" customWidth="1"/>
    <col min="11258" max="11258" width="16.140625" customWidth="1"/>
    <col min="11259" max="11259" width="25.28515625" customWidth="1"/>
    <col min="11260" max="11261" width="13.7109375" customWidth="1"/>
    <col min="11262" max="11262" width="12.140625" customWidth="1"/>
    <col min="11263" max="11263" width="9.7109375" customWidth="1"/>
    <col min="11264" max="11266" width="12.140625" customWidth="1"/>
    <col min="11267" max="11267" width="0" hidden="1" customWidth="1"/>
    <col min="11268" max="11273" width="12.140625" customWidth="1"/>
    <col min="11510" max="11510" width="18.140625" customWidth="1"/>
    <col min="11511" max="11511" width="46.140625" customWidth="1"/>
    <col min="11512" max="11512" width="10" customWidth="1"/>
    <col min="11513" max="11513" width="12.42578125" customWidth="1"/>
    <col min="11514" max="11514" width="16.140625" customWidth="1"/>
    <col min="11515" max="11515" width="25.28515625" customWidth="1"/>
    <col min="11516" max="11517" width="13.7109375" customWidth="1"/>
    <col min="11518" max="11518" width="12.140625" customWidth="1"/>
    <col min="11519" max="11519" width="9.7109375" customWidth="1"/>
    <col min="11520" max="11522" width="12.140625" customWidth="1"/>
    <col min="11523" max="11523" width="0" hidden="1" customWidth="1"/>
    <col min="11524" max="11529" width="12.140625" customWidth="1"/>
    <col min="11766" max="11766" width="18.140625" customWidth="1"/>
    <col min="11767" max="11767" width="46.140625" customWidth="1"/>
    <col min="11768" max="11768" width="10" customWidth="1"/>
    <col min="11769" max="11769" width="12.42578125" customWidth="1"/>
    <col min="11770" max="11770" width="16.140625" customWidth="1"/>
    <col min="11771" max="11771" width="25.28515625" customWidth="1"/>
    <col min="11772" max="11773" width="13.7109375" customWidth="1"/>
    <col min="11774" max="11774" width="12.140625" customWidth="1"/>
    <col min="11775" max="11775" width="9.7109375" customWidth="1"/>
    <col min="11776" max="11778" width="12.140625" customWidth="1"/>
    <col min="11779" max="11779" width="0" hidden="1" customWidth="1"/>
    <col min="11780" max="11785" width="12.140625" customWidth="1"/>
    <col min="12022" max="12022" width="18.140625" customWidth="1"/>
    <col min="12023" max="12023" width="46.140625" customWidth="1"/>
    <col min="12024" max="12024" width="10" customWidth="1"/>
    <col min="12025" max="12025" width="12.42578125" customWidth="1"/>
    <col min="12026" max="12026" width="16.140625" customWidth="1"/>
    <col min="12027" max="12027" width="25.28515625" customWidth="1"/>
    <col min="12028" max="12029" width="13.7109375" customWidth="1"/>
    <col min="12030" max="12030" width="12.140625" customWidth="1"/>
    <col min="12031" max="12031" width="9.7109375" customWidth="1"/>
    <col min="12032" max="12034" width="12.140625" customWidth="1"/>
    <col min="12035" max="12035" width="0" hidden="1" customWidth="1"/>
    <col min="12036" max="12041" width="12.140625" customWidth="1"/>
    <col min="12278" max="12278" width="18.140625" customWidth="1"/>
    <col min="12279" max="12279" width="46.140625" customWidth="1"/>
    <col min="12280" max="12280" width="10" customWidth="1"/>
    <col min="12281" max="12281" width="12.42578125" customWidth="1"/>
    <col min="12282" max="12282" width="16.140625" customWidth="1"/>
    <col min="12283" max="12283" width="25.28515625" customWidth="1"/>
    <col min="12284" max="12285" width="13.7109375" customWidth="1"/>
    <col min="12286" max="12286" width="12.140625" customWidth="1"/>
    <col min="12287" max="12287" width="9.7109375" customWidth="1"/>
    <col min="12288" max="12290" width="12.140625" customWidth="1"/>
    <col min="12291" max="12291" width="0" hidden="1" customWidth="1"/>
    <col min="12292" max="12297" width="12.140625" customWidth="1"/>
    <col min="12534" max="12534" width="18.140625" customWidth="1"/>
    <col min="12535" max="12535" width="46.140625" customWidth="1"/>
    <col min="12536" max="12536" width="10" customWidth="1"/>
    <col min="12537" max="12537" width="12.42578125" customWidth="1"/>
    <col min="12538" max="12538" width="16.140625" customWidth="1"/>
    <col min="12539" max="12539" width="25.28515625" customWidth="1"/>
    <col min="12540" max="12541" width="13.7109375" customWidth="1"/>
    <col min="12542" max="12542" width="12.140625" customWidth="1"/>
    <col min="12543" max="12543" width="9.7109375" customWidth="1"/>
    <col min="12544" max="12546" width="12.140625" customWidth="1"/>
    <col min="12547" max="12547" width="0" hidden="1" customWidth="1"/>
    <col min="12548" max="12553" width="12.140625" customWidth="1"/>
    <col min="12790" max="12790" width="18.140625" customWidth="1"/>
    <col min="12791" max="12791" width="46.140625" customWidth="1"/>
    <col min="12792" max="12792" width="10" customWidth="1"/>
    <col min="12793" max="12793" width="12.42578125" customWidth="1"/>
    <col min="12794" max="12794" width="16.140625" customWidth="1"/>
    <col min="12795" max="12795" width="25.28515625" customWidth="1"/>
    <col min="12796" max="12797" width="13.7109375" customWidth="1"/>
    <col min="12798" max="12798" width="12.140625" customWidth="1"/>
    <col min="12799" max="12799" width="9.7109375" customWidth="1"/>
    <col min="12800" max="12802" width="12.140625" customWidth="1"/>
    <col min="12803" max="12803" width="0" hidden="1" customWidth="1"/>
    <col min="12804" max="12809" width="12.140625" customWidth="1"/>
    <col min="13046" max="13046" width="18.140625" customWidth="1"/>
    <col min="13047" max="13047" width="46.140625" customWidth="1"/>
    <col min="13048" max="13048" width="10" customWidth="1"/>
    <col min="13049" max="13049" width="12.42578125" customWidth="1"/>
    <col min="13050" max="13050" width="16.140625" customWidth="1"/>
    <col min="13051" max="13051" width="25.28515625" customWidth="1"/>
    <col min="13052" max="13053" width="13.7109375" customWidth="1"/>
    <col min="13054" max="13054" width="12.140625" customWidth="1"/>
    <col min="13055" max="13055" width="9.7109375" customWidth="1"/>
    <col min="13056" max="13058" width="12.140625" customWidth="1"/>
    <col min="13059" max="13059" width="0" hidden="1" customWidth="1"/>
    <col min="13060" max="13065" width="12.140625" customWidth="1"/>
    <col min="13302" max="13302" width="18.140625" customWidth="1"/>
    <col min="13303" max="13303" width="46.140625" customWidth="1"/>
    <col min="13304" max="13304" width="10" customWidth="1"/>
    <col min="13305" max="13305" width="12.42578125" customWidth="1"/>
    <col min="13306" max="13306" width="16.140625" customWidth="1"/>
    <col min="13307" max="13307" width="25.28515625" customWidth="1"/>
    <col min="13308" max="13309" width="13.7109375" customWidth="1"/>
    <col min="13310" max="13310" width="12.140625" customWidth="1"/>
    <col min="13311" max="13311" width="9.7109375" customWidth="1"/>
    <col min="13312" max="13314" width="12.140625" customWidth="1"/>
    <col min="13315" max="13315" width="0" hidden="1" customWidth="1"/>
    <col min="13316" max="13321" width="12.140625" customWidth="1"/>
    <col min="13558" max="13558" width="18.140625" customWidth="1"/>
    <col min="13559" max="13559" width="46.140625" customWidth="1"/>
    <col min="13560" max="13560" width="10" customWidth="1"/>
    <col min="13561" max="13561" width="12.42578125" customWidth="1"/>
    <col min="13562" max="13562" width="16.140625" customWidth="1"/>
    <col min="13563" max="13563" width="25.28515625" customWidth="1"/>
    <col min="13564" max="13565" width="13.7109375" customWidth="1"/>
    <col min="13566" max="13566" width="12.140625" customWidth="1"/>
    <col min="13567" max="13567" width="9.7109375" customWidth="1"/>
    <col min="13568" max="13570" width="12.140625" customWidth="1"/>
    <col min="13571" max="13571" width="0" hidden="1" customWidth="1"/>
    <col min="13572" max="13577" width="12.140625" customWidth="1"/>
    <col min="13814" max="13814" width="18.140625" customWidth="1"/>
    <col min="13815" max="13815" width="46.140625" customWidth="1"/>
    <col min="13816" max="13816" width="10" customWidth="1"/>
    <col min="13817" max="13817" width="12.42578125" customWidth="1"/>
    <col min="13818" max="13818" width="16.140625" customWidth="1"/>
    <col min="13819" max="13819" width="25.28515625" customWidth="1"/>
    <col min="13820" max="13821" width="13.7109375" customWidth="1"/>
    <col min="13822" max="13822" width="12.140625" customWidth="1"/>
    <col min="13823" max="13823" width="9.7109375" customWidth="1"/>
    <col min="13824" max="13826" width="12.140625" customWidth="1"/>
    <col min="13827" max="13827" width="0" hidden="1" customWidth="1"/>
    <col min="13828" max="13833" width="12.140625" customWidth="1"/>
    <col min="14070" max="14070" width="18.140625" customWidth="1"/>
    <col min="14071" max="14071" width="46.140625" customWidth="1"/>
    <col min="14072" max="14072" width="10" customWidth="1"/>
    <col min="14073" max="14073" width="12.42578125" customWidth="1"/>
    <col min="14074" max="14074" width="16.140625" customWidth="1"/>
    <col min="14075" max="14075" width="25.28515625" customWidth="1"/>
    <col min="14076" max="14077" width="13.7109375" customWidth="1"/>
    <col min="14078" max="14078" width="12.140625" customWidth="1"/>
    <col min="14079" max="14079" width="9.7109375" customWidth="1"/>
    <col min="14080" max="14082" width="12.140625" customWidth="1"/>
    <col min="14083" max="14083" width="0" hidden="1" customWidth="1"/>
    <col min="14084" max="14089" width="12.140625" customWidth="1"/>
    <col min="14326" max="14326" width="18.140625" customWidth="1"/>
    <col min="14327" max="14327" width="46.140625" customWidth="1"/>
    <col min="14328" max="14328" width="10" customWidth="1"/>
    <col min="14329" max="14329" width="12.42578125" customWidth="1"/>
    <col min="14330" max="14330" width="16.140625" customWidth="1"/>
    <col min="14331" max="14331" width="25.28515625" customWidth="1"/>
    <col min="14332" max="14333" width="13.7109375" customWidth="1"/>
    <col min="14334" max="14334" width="12.140625" customWidth="1"/>
    <col min="14335" max="14335" width="9.7109375" customWidth="1"/>
    <col min="14336" max="14338" width="12.140625" customWidth="1"/>
    <col min="14339" max="14339" width="0" hidden="1" customWidth="1"/>
    <col min="14340" max="14345" width="12.140625" customWidth="1"/>
    <col min="14582" max="14582" width="18.140625" customWidth="1"/>
    <col min="14583" max="14583" width="46.140625" customWidth="1"/>
    <col min="14584" max="14584" width="10" customWidth="1"/>
    <col min="14585" max="14585" width="12.42578125" customWidth="1"/>
    <col min="14586" max="14586" width="16.140625" customWidth="1"/>
    <col min="14587" max="14587" width="25.28515625" customWidth="1"/>
    <col min="14588" max="14589" width="13.7109375" customWidth="1"/>
    <col min="14590" max="14590" width="12.140625" customWidth="1"/>
    <col min="14591" max="14591" width="9.7109375" customWidth="1"/>
    <col min="14592" max="14594" width="12.140625" customWidth="1"/>
    <col min="14595" max="14595" width="0" hidden="1" customWidth="1"/>
    <col min="14596" max="14601" width="12.140625" customWidth="1"/>
    <col min="14838" max="14838" width="18.140625" customWidth="1"/>
    <col min="14839" max="14839" width="46.140625" customWidth="1"/>
    <col min="14840" max="14840" width="10" customWidth="1"/>
    <col min="14841" max="14841" width="12.42578125" customWidth="1"/>
    <col min="14842" max="14842" width="16.140625" customWidth="1"/>
    <col min="14843" max="14843" width="25.28515625" customWidth="1"/>
    <col min="14844" max="14845" width="13.7109375" customWidth="1"/>
    <col min="14846" max="14846" width="12.140625" customWidth="1"/>
    <col min="14847" max="14847" width="9.7109375" customWidth="1"/>
    <col min="14848" max="14850" width="12.140625" customWidth="1"/>
    <col min="14851" max="14851" width="0" hidden="1" customWidth="1"/>
    <col min="14852" max="14857" width="12.140625" customWidth="1"/>
    <col min="15094" max="15094" width="18.140625" customWidth="1"/>
    <col min="15095" max="15095" width="46.140625" customWidth="1"/>
    <col min="15096" max="15096" width="10" customWidth="1"/>
    <col min="15097" max="15097" width="12.42578125" customWidth="1"/>
    <col min="15098" max="15098" width="16.140625" customWidth="1"/>
    <col min="15099" max="15099" width="25.28515625" customWidth="1"/>
    <col min="15100" max="15101" width="13.7109375" customWidth="1"/>
    <col min="15102" max="15102" width="12.140625" customWidth="1"/>
    <col min="15103" max="15103" width="9.7109375" customWidth="1"/>
    <col min="15104" max="15106" width="12.140625" customWidth="1"/>
    <col min="15107" max="15107" width="0" hidden="1" customWidth="1"/>
    <col min="15108" max="15113" width="12.140625" customWidth="1"/>
    <col min="15350" max="15350" width="18.140625" customWidth="1"/>
    <col min="15351" max="15351" width="46.140625" customWidth="1"/>
    <col min="15352" max="15352" width="10" customWidth="1"/>
    <col min="15353" max="15353" width="12.42578125" customWidth="1"/>
    <col min="15354" max="15354" width="16.140625" customWidth="1"/>
    <col min="15355" max="15355" width="25.28515625" customWidth="1"/>
    <col min="15356" max="15357" width="13.7109375" customWidth="1"/>
    <col min="15358" max="15358" width="12.140625" customWidth="1"/>
    <col min="15359" max="15359" width="9.7109375" customWidth="1"/>
    <col min="15360" max="15362" width="12.140625" customWidth="1"/>
    <col min="15363" max="15363" width="0" hidden="1" customWidth="1"/>
    <col min="15364" max="15369" width="12.140625" customWidth="1"/>
    <col min="15606" max="15606" width="18.140625" customWidth="1"/>
    <col min="15607" max="15607" width="46.140625" customWidth="1"/>
    <col min="15608" max="15608" width="10" customWidth="1"/>
    <col min="15609" max="15609" width="12.42578125" customWidth="1"/>
    <col min="15610" max="15610" width="16.140625" customWidth="1"/>
    <col min="15611" max="15611" width="25.28515625" customWidth="1"/>
    <col min="15612" max="15613" width="13.7109375" customWidth="1"/>
    <col min="15614" max="15614" width="12.140625" customWidth="1"/>
    <col min="15615" max="15615" width="9.7109375" customWidth="1"/>
    <col min="15616" max="15618" width="12.140625" customWidth="1"/>
    <col min="15619" max="15619" width="0" hidden="1" customWidth="1"/>
    <col min="15620" max="15625" width="12.140625" customWidth="1"/>
    <col min="15862" max="15862" width="18.140625" customWidth="1"/>
    <col min="15863" max="15863" width="46.140625" customWidth="1"/>
    <col min="15864" max="15864" width="10" customWidth="1"/>
    <col min="15865" max="15865" width="12.42578125" customWidth="1"/>
    <col min="15866" max="15866" width="16.140625" customWidth="1"/>
    <col min="15867" max="15867" width="25.28515625" customWidth="1"/>
    <col min="15868" max="15869" width="13.7109375" customWidth="1"/>
    <col min="15870" max="15870" width="12.140625" customWidth="1"/>
    <col min="15871" max="15871" width="9.7109375" customWidth="1"/>
    <col min="15872" max="15874" width="12.140625" customWidth="1"/>
    <col min="15875" max="15875" width="0" hidden="1" customWidth="1"/>
    <col min="15876" max="15881" width="12.140625" customWidth="1"/>
    <col min="16118" max="16118" width="18.140625" customWidth="1"/>
    <col min="16119" max="16119" width="46.140625" customWidth="1"/>
    <col min="16120" max="16120" width="10" customWidth="1"/>
    <col min="16121" max="16121" width="12.42578125" customWidth="1"/>
    <col min="16122" max="16122" width="16.140625" customWidth="1"/>
    <col min="16123" max="16123" width="25.28515625" customWidth="1"/>
    <col min="16124" max="16125" width="13.7109375" customWidth="1"/>
    <col min="16126" max="16126" width="12.140625" customWidth="1"/>
    <col min="16127" max="16127" width="9.7109375" customWidth="1"/>
    <col min="16128" max="16130" width="12.140625" customWidth="1"/>
    <col min="16131" max="16131" width="0" hidden="1" customWidth="1"/>
    <col min="16132" max="16137" width="12.140625" customWidth="1"/>
  </cols>
  <sheetData>
    <row r="1" spans="1:14" ht="15" customHeight="1">
      <c r="A1" s="552"/>
      <c r="B1" s="606" t="s">
        <v>317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15" customHeight="1">
      <c r="A2" s="552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</row>
    <row r="3" spans="1:14" ht="15" customHeight="1">
      <c r="A3" s="552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</row>
    <row r="6" spans="1:14">
      <c r="A6" s="607" t="s">
        <v>318</v>
      </c>
      <c r="B6" s="607"/>
      <c r="C6" s="607"/>
      <c r="D6" s="361"/>
      <c r="E6" s="360"/>
      <c r="F6" s="608" t="s">
        <v>319</v>
      </c>
      <c r="G6" s="609"/>
      <c r="H6" s="609"/>
      <c r="I6" s="610"/>
      <c r="J6" s="361"/>
      <c r="K6" s="362"/>
      <c r="L6" s="361"/>
      <c r="M6" s="362"/>
      <c r="N6" s="359"/>
    </row>
    <row r="7" spans="1:14" ht="25.5">
      <c r="A7" s="363" t="s">
        <v>320</v>
      </c>
      <c r="B7" s="363" t="s">
        <v>321</v>
      </c>
      <c r="C7" s="364" t="s">
        <v>322</v>
      </c>
      <c r="D7" s="364" t="s">
        <v>323</v>
      </c>
      <c r="E7" s="363" t="s">
        <v>324</v>
      </c>
      <c r="F7" s="365" t="s">
        <v>325</v>
      </c>
      <c r="G7" s="365" t="s">
        <v>66</v>
      </c>
      <c r="H7" s="365" t="s">
        <v>326</v>
      </c>
      <c r="I7" s="365" t="s">
        <v>327</v>
      </c>
      <c r="J7" s="364" t="s">
        <v>328</v>
      </c>
      <c r="K7" s="364" t="s">
        <v>329</v>
      </c>
      <c r="L7" s="364" t="s">
        <v>330</v>
      </c>
      <c r="M7" s="366" t="s">
        <v>331</v>
      </c>
      <c r="N7" s="364" t="s">
        <v>332</v>
      </c>
    </row>
    <row r="8" spans="1:14" ht="51">
      <c r="A8" s="367" t="s">
        <v>333</v>
      </c>
      <c r="B8" s="367" t="s">
        <v>334</v>
      </c>
      <c r="C8" s="368" t="s">
        <v>335</v>
      </c>
      <c r="D8" s="368" t="s">
        <v>336</v>
      </c>
      <c r="E8" s="367" t="s">
        <v>337</v>
      </c>
      <c r="F8" s="374">
        <v>2</v>
      </c>
      <c r="G8" s="374">
        <v>2</v>
      </c>
      <c r="H8" s="374">
        <v>2</v>
      </c>
      <c r="I8" s="374">
        <f>+F8*G8*H8</f>
        <v>8</v>
      </c>
      <c r="J8" s="368" t="s">
        <v>338</v>
      </c>
      <c r="K8" s="369">
        <v>0.01</v>
      </c>
      <c r="L8" s="370"/>
      <c r="M8" s="374">
        <f>+IFERROR(I6*K6,0)</f>
        <v>0</v>
      </c>
      <c r="N8" s="373" t="s">
        <v>339</v>
      </c>
    </row>
    <row r="9" spans="1:14" ht="76.5">
      <c r="A9" s="367" t="s">
        <v>340</v>
      </c>
      <c r="B9" s="367" t="s">
        <v>333</v>
      </c>
      <c r="C9" s="368" t="s">
        <v>341</v>
      </c>
      <c r="D9" s="368" t="s">
        <v>342</v>
      </c>
      <c r="E9" s="367" t="s">
        <v>337</v>
      </c>
      <c r="F9" s="374">
        <v>2</v>
      </c>
      <c r="G9" s="374">
        <v>2</v>
      </c>
      <c r="H9" s="374">
        <v>3</v>
      </c>
      <c r="I9" s="374">
        <f t="shared" ref="I9:I12" si="0">+F9*G9*H9</f>
        <v>12</v>
      </c>
      <c r="J9" s="368" t="s">
        <v>343</v>
      </c>
      <c r="K9" s="369"/>
      <c r="L9" s="370"/>
      <c r="M9" s="374">
        <f t="shared" ref="M9:M12" si="1">+IFERROR(I7*K7,0)</f>
        <v>0</v>
      </c>
      <c r="N9" s="373" t="s">
        <v>339</v>
      </c>
    </row>
    <row r="10" spans="1:14" ht="63.75">
      <c r="A10" s="367" t="s">
        <v>333</v>
      </c>
      <c r="B10" s="367" t="s">
        <v>333</v>
      </c>
      <c r="C10" s="368" t="s">
        <v>344</v>
      </c>
      <c r="D10" s="368" t="s">
        <v>345</v>
      </c>
      <c r="E10" s="367" t="s">
        <v>346</v>
      </c>
      <c r="F10" s="374">
        <v>4</v>
      </c>
      <c r="G10" s="374">
        <v>2</v>
      </c>
      <c r="H10" s="374">
        <v>3</v>
      </c>
      <c r="I10" s="374">
        <f t="shared" si="0"/>
        <v>24</v>
      </c>
      <c r="J10" s="368" t="s">
        <v>347</v>
      </c>
      <c r="K10" s="369">
        <v>0.01</v>
      </c>
      <c r="L10" s="371"/>
      <c r="M10" s="375">
        <f t="shared" si="1"/>
        <v>0.08</v>
      </c>
      <c r="N10" s="373" t="s">
        <v>339</v>
      </c>
    </row>
    <row r="11" spans="1:14" ht="76.5">
      <c r="A11" s="367" t="s">
        <v>348</v>
      </c>
      <c r="B11" s="367" t="s">
        <v>348</v>
      </c>
      <c r="C11" s="368" t="s">
        <v>349</v>
      </c>
      <c r="D11" s="368" t="s">
        <v>350</v>
      </c>
      <c r="E11" s="367" t="s">
        <v>346</v>
      </c>
      <c r="F11" s="374">
        <v>4</v>
      </c>
      <c r="G11" s="374">
        <v>4</v>
      </c>
      <c r="H11" s="374">
        <v>3</v>
      </c>
      <c r="I11" s="374">
        <f t="shared" si="0"/>
        <v>48</v>
      </c>
      <c r="J11" s="368" t="s">
        <v>351</v>
      </c>
      <c r="K11" s="369">
        <v>0.01</v>
      </c>
      <c r="L11" s="369"/>
      <c r="M11" s="374">
        <f t="shared" si="1"/>
        <v>0</v>
      </c>
      <c r="N11" s="373" t="s">
        <v>339</v>
      </c>
    </row>
    <row r="12" spans="1:14" ht="76.5">
      <c r="A12" s="372" t="s">
        <v>348</v>
      </c>
      <c r="B12" s="367" t="s">
        <v>348</v>
      </c>
      <c r="C12" s="368" t="s">
        <v>352</v>
      </c>
      <c r="D12" s="368" t="s">
        <v>350</v>
      </c>
      <c r="E12" s="367" t="s">
        <v>346</v>
      </c>
      <c r="F12" s="374">
        <v>3</v>
      </c>
      <c r="G12" s="374">
        <v>3</v>
      </c>
      <c r="H12" s="374">
        <v>3</v>
      </c>
      <c r="I12" s="374">
        <f t="shared" si="0"/>
        <v>27</v>
      </c>
      <c r="J12" s="368" t="s">
        <v>351</v>
      </c>
      <c r="K12" s="369">
        <v>0.01</v>
      </c>
      <c r="L12" s="369"/>
      <c r="M12" s="374">
        <f t="shared" si="1"/>
        <v>0.24</v>
      </c>
      <c r="N12" s="373" t="s">
        <v>339</v>
      </c>
    </row>
    <row r="16" spans="1:14" ht="23.25">
      <c r="A16" s="376" t="s">
        <v>353</v>
      </c>
    </row>
  </sheetData>
  <mergeCells count="4">
    <mergeCell ref="A1:A3"/>
    <mergeCell ref="A6:C6"/>
    <mergeCell ref="F6:I6"/>
    <mergeCell ref="B1:N3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E54B-3229-4A00-8B2F-B6EC73DB2608}">
  <sheetPr>
    <tabColor theme="8" tint="0.59999389629810485"/>
    <pageSetUpPr fitToPage="1"/>
  </sheetPr>
  <dimension ref="A1:R18"/>
  <sheetViews>
    <sheetView showGridLines="0" zoomScale="70" zoomScaleNormal="70" workbookViewId="0">
      <selection activeCell="G35" sqref="G35"/>
    </sheetView>
  </sheetViews>
  <sheetFormatPr defaultColWidth="11.42578125" defaultRowHeight="12.75" outlineLevelCol="1"/>
  <cols>
    <col min="1" max="1" width="18.140625" style="379" customWidth="1"/>
    <col min="2" max="2" width="20" style="379" customWidth="1"/>
    <col min="3" max="3" width="15" style="379" customWidth="1"/>
    <col min="4" max="5" width="16.140625" style="379" customWidth="1"/>
    <col min="6" max="6" width="13.7109375" style="379" customWidth="1"/>
    <col min="7" max="7" width="9.28515625" style="379" customWidth="1"/>
    <col min="8" max="8" width="12.140625" style="379" customWidth="1"/>
    <col min="9" max="9" width="12.42578125" style="379" customWidth="1"/>
    <col min="10" max="10" width="12.140625" style="379" customWidth="1" outlineLevel="1"/>
    <col min="11" max="12" width="12.140625" style="379" customWidth="1"/>
    <col min="13" max="15" width="12.140625" style="379" customWidth="1" outlineLevel="1"/>
    <col min="16" max="18" width="12.140625" style="379" customWidth="1"/>
    <col min="19" max="233" width="11.42578125" style="379"/>
    <col min="234" max="234" width="18.140625" style="379" customWidth="1"/>
    <col min="235" max="235" width="46.140625" style="379" customWidth="1"/>
    <col min="236" max="236" width="10" style="379" customWidth="1"/>
    <col min="237" max="237" width="12.42578125" style="379" customWidth="1"/>
    <col min="238" max="238" width="16.140625" style="379" customWidth="1"/>
    <col min="239" max="239" width="25.28515625" style="379" customWidth="1"/>
    <col min="240" max="241" width="13.7109375" style="379" customWidth="1"/>
    <col min="242" max="242" width="12.140625" style="379" customWidth="1"/>
    <col min="243" max="243" width="9.7109375" style="379" customWidth="1"/>
    <col min="244" max="246" width="12.140625" style="379" customWidth="1"/>
    <col min="247" max="247" width="0" style="379" hidden="1" customWidth="1"/>
    <col min="248" max="253" width="12.140625" style="379" customWidth="1"/>
    <col min="254" max="489" width="11.42578125" style="379"/>
    <col min="490" max="490" width="18.140625" style="379" customWidth="1"/>
    <col min="491" max="491" width="46.140625" style="379" customWidth="1"/>
    <col min="492" max="492" width="10" style="379" customWidth="1"/>
    <col min="493" max="493" width="12.42578125" style="379" customWidth="1"/>
    <col min="494" max="494" width="16.140625" style="379" customWidth="1"/>
    <col min="495" max="495" width="25.28515625" style="379" customWidth="1"/>
    <col min="496" max="497" width="13.7109375" style="379" customWidth="1"/>
    <col min="498" max="498" width="12.140625" style="379" customWidth="1"/>
    <col min="499" max="499" width="9.7109375" style="379" customWidth="1"/>
    <col min="500" max="502" width="12.140625" style="379" customWidth="1"/>
    <col min="503" max="503" width="0" style="379" hidden="1" customWidth="1"/>
    <col min="504" max="509" width="12.140625" style="379" customWidth="1"/>
    <col min="510" max="745" width="11.42578125" style="379"/>
    <col min="746" max="746" width="18.140625" style="379" customWidth="1"/>
    <col min="747" max="747" width="46.140625" style="379" customWidth="1"/>
    <col min="748" max="748" width="10" style="379" customWidth="1"/>
    <col min="749" max="749" width="12.42578125" style="379" customWidth="1"/>
    <col min="750" max="750" width="16.140625" style="379" customWidth="1"/>
    <col min="751" max="751" width="25.28515625" style="379" customWidth="1"/>
    <col min="752" max="753" width="13.7109375" style="379" customWidth="1"/>
    <col min="754" max="754" width="12.140625" style="379" customWidth="1"/>
    <col min="755" max="755" width="9.7109375" style="379" customWidth="1"/>
    <col min="756" max="758" width="12.140625" style="379" customWidth="1"/>
    <col min="759" max="759" width="0" style="379" hidden="1" customWidth="1"/>
    <col min="760" max="765" width="12.140625" style="379" customWidth="1"/>
    <col min="766" max="1001" width="11.42578125" style="379"/>
    <col min="1002" max="1002" width="18.140625" style="379" customWidth="1"/>
    <col min="1003" max="1003" width="46.140625" style="379" customWidth="1"/>
    <col min="1004" max="1004" width="10" style="379" customWidth="1"/>
    <col min="1005" max="1005" width="12.42578125" style="379" customWidth="1"/>
    <col min="1006" max="1006" width="16.140625" style="379" customWidth="1"/>
    <col min="1007" max="1007" width="25.28515625" style="379" customWidth="1"/>
    <col min="1008" max="1009" width="13.7109375" style="379" customWidth="1"/>
    <col min="1010" max="1010" width="12.140625" style="379" customWidth="1"/>
    <col min="1011" max="1011" width="9.7109375" style="379" customWidth="1"/>
    <col min="1012" max="1014" width="12.140625" style="379" customWidth="1"/>
    <col min="1015" max="1015" width="0" style="379" hidden="1" customWidth="1"/>
    <col min="1016" max="1021" width="12.140625" style="379" customWidth="1"/>
    <col min="1022" max="1257" width="11.42578125" style="379"/>
    <col min="1258" max="1258" width="18.140625" style="379" customWidth="1"/>
    <col min="1259" max="1259" width="46.140625" style="379" customWidth="1"/>
    <col min="1260" max="1260" width="10" style="379" customWidth="1"/>
    <col min="1261" max="1261" width="12.42578125" style="379" customWidth="1"/>
    <col min="1262" max="1262" width="16.140625" style="379" customWidth="1"/>
    <col min="1263" max="1263" width="25.28515625" style="379" customWidth="1"/>
    <col min="1264" max="1265" width="13.7109375" style="379" customWidth="1"/>
    <col min="1266" max="1266" width="12.140625" style="379" customWidth="1"/>
    <col min="1267" max="1267" width="9.7109375" style="379" customWidth="1"/>
    <col min="1268" max="1270" width="12.140625" style="379" customWidth="1"/>
    <col min="1271" max="1271" width="0" style="379" hidden="1" customWidth="1"/>
    <col min="1272" max="1277" width="12.140625" style="379" customWidth="1"/>
    <col min="1278" max="1513" width="11.42578125" style="379"/>
    <col min="1514" max="1514" width="18.140625" style="379" customWidth="1"/>
    <col min="1515" max="1515" width="46.140625" style="379" customWidth="1"/>
    <col min="1516" max="1516" width="10" style="379" customWidth="1"/>
    <col min="1517" max="1517" width="12.42578125" style="379" customWidth="1"/>
    <col min="1518" max="1518" width="16.140625" style="379" customWidth="1"/>
    <col min="1519" max="1519" width="25.28515625" style="379" customWidth="1"/>
    <col min="1520" max="1521" width="13.7109375" style="379" customWidth="1"/>
    <col min="1522" max="1522" width="12.140625" style="379" customWidth="1"/>
    <col min="1523" max="1523" width="9.7109375" style="379" customWidth="1"/>
    <col min="1524" max="1526" width="12.140625" style="379" customWidth="1"/>
    <col min="1527" max="1527" width="0" style="379" hidden="1" customWidth="1"/>
    <col min="1528" max="1533" width="12.140625" style="379" customWidth="1"/>
    <col min="1534" max="1769" width="11.42578125" style="379"/>
    <col min="1770" max="1770" width="18.140625" style="379" customWidth="1"/>
    <col min="1771" max="1771" width="46.140625" style="379" customWidth="1"/>
    <col min="1772" max="1772" width="10" style="379" customWidth="1"/>
    <col min="1773" max="1773" width="12.42578125" style="379" customWidth="1"/>
    <col min="1774" max="1774" width="16.140625" style="379" customWidth="1"/>
    <col min="1775" max="1775" width="25.28515625" style="379" customWidth="1"/>
    <col min="1776" max="1777" width="13.7109375" style="379" customWidth="1"/>
    <col min="1778" max="1778" width="12.140625" style="379" customWidth="1"/>
    <col min="1779" max="1779" width="9.7109375" style="379" customWidth="1"/>
    <col min="1780" max="1782" width="12.140625" style="379" customWidth="1"/>
    <col min="1783" max="1783" width="0" style="379" hidden="1" customWidth="1"/>
    <col min="1784" max="1789" width="12.140625" style="379" customWidth="1"/>
    <col min="1790" max="2025" width="11.42578125" style="379"/>
    <col min="2026" max="2026" width="18.140625" style="379" customWidth="1"/>
    <col min="2027" max="2027" width="46.140625" style="379" customWidth="1"/>
    <col min="2028" max="2028" width="10" style="379" customWidth="1"/>
    <col min="2029" max="2029" width="12.42578125" style="379" customWidth="1"/>
    <col min="2030" max="2030" width="16.140625" style="379" customWidth="1"/>
    <col min="2031" max="2031" width="25.28515625" style="379" customWidth="1"/>
    <col min="2032" max="2033" width="13.7109375" style="379" customWidth="1"/>
    <col min="2034" max="2034" width="12.140625" style="379" customWidth="1"/>
    <col min="2035" max="2035" width="9.7109375" style="379" customWidth="1"/>
    <col min="2036" max="2038" width="12.140625" style="379" customWidth="1"/>
    <col min="2039" max="2039" width="0" style="379" hidden="1" customWidth="1"/>
    <col min="2040" max="2045" width="12.140625" style="379" customWidth="1"/>
    <col min="2046" max="2281" width="11.42578125" style="379"/>
    <col min="2282" max="2282" width="18.140625" style="379" customWidth="1"/>
    <col min="2283" max="2283" width="46.140625" style="379" customWidth="1"/>
    <col min="2284" max="2284" width="10" style="379" customWidth="1"/>
    <col min="2285" max="2285" width="12.42578125" style="379" customWidth="1"/>
    <col min="2286" max="2286" width="16.140625" style="379" customWidth="1"/>
    <col min="2287" max="2287" width="25.28515625" style="379" customWidth="1"/>
    <col min="2288" max="2289" width="13.7109375" style="379" customWidth="1"/>
    <col min="2290" max="2290" width="12.140625" style="379" customWidth="1"/>
    <col min="2291" max="2291" width="9.7109375" style="379" customWidth="1"/>
    <col min="2292" max="2294" width="12.140625" style="379" customWidth="1"/>
    <col min="2295" max="2295" width="0" style="379" hidden="1" customWidth="1"/>
    <col min="2296" max="2301" width="12.140625" style="379" customWidth="1"/>
    <col min="2302" max="2537" width="11.42578125" style="379"/>
    <col min="2538" max="2538" width="18.140625" style="379" customWidth="1"/>
    <col min="2539" max="2539" width="46.140625" style="379" customWidth="1"/>
    <col min="2540" max="2540" width="10" style="379" customWidth="1"/>
    <col min="2541" max="2541" width="12.42578125" style="379" customWidth="1"/>
    <col min="2542" max="2542" width="16.140625" style="379" customWidth="1"/>
    <col min="2543" max="2543" width="25.28515625" style="379" customWidth="1"/>
    <col min="2544" max="2545" width="13.7109375" style="379" customWidth="1"/>
    <col min="2546" max="2546" width="12.140625" style="379" customWidth="1"/>
    <col min="2547" max="2547" width="9.7109375" style="379" customWidth="1"/>
    <col min="2548" max="2550" width="12.140625" style="379" customWidth="1"/>
    <col min="2551" max="2551" width="0" style="379" hidden="1" customWidth="1"/>
    <col min="2552" max="2557" width="12.140625" style="379" customWidth="1"/>
    <col min="2558" max="2793" width="11.42578125" style="379"/>
    <col min="2794" max="2794" width="18.140625" style="379" customWidth="1"/>
    <col min="2795" max="2795" width="46.140625" style="379" customWidth="1"/>
    <col min="2796" max="2796" width="10" style="379" customWidth="1"/>
    <col min="2797" max="2797" width="12.42578125" style="379" customWidth="1"/>
    <col min="2798" max="2798" width="16.140625" style="379" customWidth="1"/>
    <col min="2799" max="2799" width="25.28515625" style="379" customWidth="1"/>
    <col min="2800" max="2801" width="13.7109375" style="379" customWidth="1"/>
    <col min="2802" max="2802" width="12.140625" style="379" customWidth="1"/>
    <col min="2803" max="2803" width="9.7109375" style="379" customWidth="1"/>
    <col min="2804" max="2806" width="12.140625" style="379" customWidth="1"/>
    <col min="2807" max="2807" width="0" style="379" hidden="1" customWidth="1"/>
    <col min="2808" max="2813" width="12.140625" style="379" customWidth="1"/>
    <col min="2814" max="3049" width="11.42578125" style="379"/>
    <col min="3050" max="3050" width="18.140625" style="379" customWidth="1"/>
    <col min="3051" max="3051" width="46.140625" style="379" customWidth="1"/>
    <col min="3052" max="3052" width="10" style="379" customWidth="1"/>
    <col min="3053" max="3053" width="12.42578125" style="379" customWidth="1"/>
    <col min="3054" max="3054" width="16.140625" style="379" customWidth="1"/>
    <col min="3055" max="3055" width="25.28515625" style="379" customWidth="1"/>
    <col min="3056" max="3057" width="13.7109375" style="379" customWidth="1"/>
    <col min="3058" max="3058" width="12.140625" style="379" customWidth="1"/>
    <col min="3059" max="3059" width="9.7109375" style="379" customWidth="1"/>
    <col min="3060" max="3062" width="12.140625" style="379" customWidth="1"/>
    <col min="3063" max="3063" width="0" style="379" hidden="1" customWidth="1"/>
    <col min="3064" max="3069" width="12.140625" style="379" customWidth="1"/>
    <col min="3070" max="3305" width="11.42578125" style="379"/>
    <col min="3306" max="3306" width="18.140625" style="379" customWidth="1"/>
    <col min="3307" max="3307" width="46.140625" style="379" customWidth="1"/>
    <col min="3308" max="3308" width="10" style="379" customWidth="1"/>
    <col min="3309" max="3309" width="12.42578125" style="379" customWidth="1"/>
    <col min="3310" max="3310" width="16.140625" style="379" customWidth="1"/>
    <col min="3311" max="3311" width="25.28515625" style="379" customWidth="1"/>
    <col min="3312" max="3313" width="13.7109375" style="379" customWidth="1"/>
    <col min="3314" max="3314" width="12.140625" style="379" customWidth="1"/>
    <col min="3315" max="3315" width="9.7109375" style="379" customWidth="1"/>
    <col min="3316" max="3318" width="12.140625" style="379" customWidth="1"/>
    <col min="3319" max="3319" width="0" style="379" hidden="1" customWidth="1"/>
    <col min="3320" max="3325" width="12.140625" style="379" customWidth="1"/>
    <col min="3326" max="3561" width="11.42578125" style="379"/>
    <col min="3562" max="3562" width="18.140625" style="379" customWidth="1"/>
    <col min="3563" max="3563" width="46.140625" style="379" customWidth="1"/>
    <col min="3564" max="3564" width="10" style="379" customWidth="1"/>
    <col min="3565" max="3565" width="12.42578125" style="379" customWidth="1"/>
    <col min="3566" max="3566" width="16.140625" style="379" customWidth="1"/>
    <col min="3567" max="3567" width="25.28515625" style="379" customWidth="1"/>
    <col min="3568" max="3569" width="13.7109375" style="379" customWidth="1"/>
    <col min="3570" max="3570" width="12.140625" style="379" customWidth="1"/>
    <col min="3571" max="3571" width="9.7109375" style="379" customWidth="1"/>
    <col min="3572" max="3574" width="12.140625" style="379" customWidth="1"/>
    <col min="3575" max="3575" width="0" style="379" hidden="1" customWidth="1"/>
    <col min="3576" max="3581" width="12.140625" style="379" customWidth="1"/>
    <col min="3582" max="3817" width="11.42578125" style="379"/>
    <col min="3818" max="3818" width="18.140625" style="379" customWidth="1"/>
    <col min="3819" max="3819" width="46.140625" style="379" customWidth="1"/>
    <col min="3820" max="3820" width="10" style="379" customWidth="1"/>
    <col min="3821" max="3821" width="12.42578125" style="379" customWidth="1"/>
    <col min="3822" max="3822" width="16.140625" style="379" customWidth="1"/>
    <col min="3823" max="3823" width="25.28515625" style="379" customWidth="1"/>
    <col min="3824" max="3825" width="13.7109375" style="379" customWidth="1"/>
    <col min="3826" max="3826" width="12.140625" style="379" customWidth="1"/>
    <col min="3827" max="3827" width="9.7109375" style="379" customWidth="1"/>
    <col min="3828" max="3830" width="12.140625" style="379" customWidth="1"/>
    <col min="3831" max="3831" width="0" style="379" hidden="1" customWidth="1"/>
    <col min="3832" max="3837" width="12.140625" style="379" customWidth="1"/>
    <col min="3838" max="4073" width="11.42578125" style="379"/>
    <col min="4074" max="4074" width="18.140625" style="379" customWidth="1"/>
    <col min="4075" max="4075" width="46.140625" style="379" customWidth="1"/>
    <col min="4076" max="4076" width="10" style="379" customWidth="1"/>
    <col min="4077" max="4077" width="12.42578125" style="379" customWidth="1"/>
    <col min="4078" max="4078" width="16.140625" style="379" customWidth="1"/>
    <col min="4079" max="4079" width="25.28515625" style="379" customWidth="1"/>
    <col min="4080" max="4081" width="13.7109375" style="379" customWidth="1"/>
    <col min="4082" max="4082" width="12.140625" style="379" customWidth="1"/>
    <col min="4083" max="4083" width="9.7109375" style="379" customWidth="1"/>
    <col min="4084" max="4086" width="12.140625" style="379" customWidth="1"/>
    <col min="4087" max="4087" width="0" style="379" hidden="1" customWidth="1"/>
    <col min="4088" max="4093" width="12.140625" style="379" customWidth="1"/>
    <col min="4094" max="4329" width="11.42578125" style="379"/>
    <col min="4330" max="4330" width="18.140625" style="379" customWidth="1"/>
    <col min="4331" max="4331" width="46.140625" style="379" customWidth="1"/>
    <col min="4332" max="4332" width="10" style="379" customWidth="1"/>
    <col min="4333" max="4333" width="12.42578125" style="379" customWidth="1"/>
    <col min="4334" max="4334" width="16.140625" style="379" customWidth="1"/>
    <col min="4335" max="4335" width="25.28515625" style="379" customWidth="1"/>
    <col min="4336" max="4337" width="13.7109375" style="379" customWidth="1"/>
    <col min="4338" max="4338" width="12.140625" style="379" customWidth="1"/>
    <col min="4339" max="4339" width="9.7109375" style="379" customWidth="1"/>
    <col min="4340" max="4342" width="12.140625" style="379" customWidth="1"/>
    <col min="4343" max="4343" width="0" style="379" hidden="1" customWidth="1"/>
    <col min="4344" max="4349" width="12.140625" style="379" customWidth="1"/>
    <col min="4350" max="4585" width="11.42578125" style="379"/>
    <col min="4586" max="4586" width="18.140625" style="379" customWidth="1"/>
    <col min="4587" max="4587" width="46.140625" style="379" customWidth="1"/>
    <col min="4588" max="4588" width="10" style="379" customWidth="1"/>
    <col min="4589" max="4589" width="12.42578125" style="379" customWidth="1"/>
    <col min="4590" max="4590" width="16.140625" style="379" customWidth="1"/>
    <col min="4591" max="4591" width="25.28515625" style="379" customWidth="1"/>
    <col min="4592" max="4593" width="13.7109375" style="379" customWidth="1"/>
    <col min="4594" max="4594" width="12.140625" style="379" customWidth="1"/>
    <col min="4595" max="4595" width="9.7109375" style="379" customWidth="1"/>
    <col min="4596" max="4598" width="12.140625" style="379" customWidth="1"/>
    <col min="4599" max="4599" width="0" style="379" hidden="1" customWidth="1"/>
    <col min="4600" max="4605" width="12.140625" style="379" customWidth="1"/>
    <col min="4606" max="4841" width="11.42578125" style="379"/>
    <col min="4842" max="4842" width="18.140625" style="379" customWidth="1"/>
    <col min="4843" max="4843" width="46.140625" style="379" customWidth="1"/>
    <col min="4844" max="4844" width="10" style="379" customWidth="1"/>
    <col min="4845" max="4845" width="12.42578125" style="379" customWidth="1"/>
    <col min="4846" max="4846" width="16.140625" style="379" customWidth="1"/>
    <col min="4847" max="4847" width="25.28515625" style="379" customWidth="1"/>
    <col min="4848" max="4849" width="13.7109375" style="379" customWidth="1"/>
    <col min="4850" max="4850" width="12.140625" style="379" customWidth="1"/>
    <col min="4851" max="4851" width="9.7109375" style="379" customWidth="1"/>
    <col min="4852" max="4854" width="12.140625" style="379" customWidth="1"/>
    <col min="4855" max="4855" width="0" style="379" hidden="1" customWidth="1"/>
    <col min="4856" max="4861" width="12.140625" style="379" customWidth="1"/>
    <col min="4862" max="5097" width="11.42578125" style="379"/>
    <col min="5098" max="5098" width="18.140625" style="379" customWidth="1"/>
    <col min="5099" max="5099" width="46.140625" style="379" customWidth="1"/>
    <col min="5100" max="5100" width="10" style="379" customWidth="1"/>
    <col min="5101" max="5101" width="12.42578125" style="379" customWidth="1"/>
    <col min="5102" max="5102" width="16.140625" style="379" customWidth="1"/>
    <col min="5103" max="5103" width="25.28515625" style="379" customWidth="1"/>
    <col min="5104" max="5105" width="13.7109375" style="379" customWidth="1"/>
    <col min="5106" max="5106" width="12.140625" style="379" customWidth="1"/>
    <col min="5107" max="5107" width="9.7109375" style="379" customWidth="1"/>
    <col min="5108" max="5110" width="12.140625" style="379" customWidth="1"/>
    <col min="5111" max="5111" width="0" style="379" hidden="1" customWidth="1"/>
    <col min="5112" max="5117" width="12.140625" style="379" customWidth="1"/>
    <col min="5118" max="5353" width="11.42578125" style="379"/>
    <col min="5354" max="5354" width="18.140625" style="379" customWidth="1"/>
    <col min="5355" max="5355" width="46.140625" style="379" customWidth="1"/>
    <col min="5356" max="5356" width="10" style="379" customWidth="1"/>
    <col min="5357" max="5357" width="12.42578125" style="379" customWidth="1"/>
    <col min="5358" max="5358" width="16.140625" style="379" customWidth="1"/>
    <col min="5359" max="5359" width="25.28515625" style="379" customWidth="1"/>
    <col min="5360" max="5361" width="13.7109375" style="379" customWidth="1"/>
    <col min="5362" max="5362" width="12.140625" style="379" customWidth="1"/>
    <col min="5363" max="5363" width="9.7109375" style="379" customWidth="1"/>
    <col min="5364" max="5366" width="12.140625" style="379" customWidth="1"/>
    <col min="5367" max="5367" width="0" style="379" hidden="1" customWidth="1"/>
    <col min="5368" max="5373" width="12.140625" style="379" customWidth="1"/>
    <col min="5374" max="5609" width="11.42578125" style="379"/>
    <col min="5610" max="5610" width="18.140625" style="379" customWidth="1"/>
    <col min="5611" max="5611" width="46.140625" style="379" customWidth="1"/>
    <col min="5612" max="5612" width="10" style="379" customWidth="1"/>
    <col min="5613" max="5613" width="12.42578125" style="379" customWidth="1"/>
    <col min="5614" max="5614" width="16.140625" style="379" customWidth="1"/>
    <col min="5615" max="5615" width="25.28515625" style="379" customWidth="1"/>
    <col min="5616" max="5617" width="13.7109375" style="379" customWidth="1"/>
    <col min="5618" max="5618" width="12.140625" style="379" customWidth="1"/>
    <col min="5619" max="5619" width="9.7109375" style="379" customWidth="1"/>
    <col min="5620" max="5622" width="12.140625" style="379" customWidth="1"/>
    <col min="5623" max="5623" width="0" style="379" hidden="1" customWidth="1"/>
    <col min="5624" max="5629" width="12.140625" style="379" customWidth="1"/>
    <col min="5630" max="5865" width="11.42578125" style="379"/>
    <col min="5866" max="5866" width="18.140625" style="379" customWidth="1"/>
    <col min="5867" max="5867" width="46.140625" style="379" customWidth="1"/>
    <col min="5868" max="5868" width="10" style="379" customWidth="1"/>
    <col min="5869" max="5869" width="12.42578125" style="379" customWidth="1"/>
    <col min="5870" max="5870" width="16.140625" style="379" customWidth="1"/>
    <col min="5871" max="5871" width="25.28515625" style="379" customWidth="1"/>
    <col min="5872" max="5873" width="13.7109375" style="379" customWidth="1"/>
    <col min="5874" max="5874" width="12.140625" style="379" customWidth="1"/>
    <col min="5875" max="5875" width="9.7109375" style="379" customWidth="1"/>
    <col min="5876" max="5878" width="12.140625" style="379" customWidth="1"/>
    <col min="5879" max="5879" width="0" style="379" hidden="1" customWidth="1"/>
    <col min="5880" max="5885" width="12.140625" style="379" customWidth="1"/>
    <col min="5886" max="6121" width="11.42578125" style="379"/>
    <col min="6122" max="6122" width="18.140625" style="379" customWidth="1"/>
    <col min="6123" max="6123" width="46.140625" style="379" customWidth="1"/>
    <col min="6124" max="6124" width="10" style="379" customWidth="1"/>
    <col min="6125" max="6125" width="12.42578125" style="379" customWidth="1"/>
    <col min="6126" max="6126" width="16.140625" style="379" customWidth="1"/>
    <col min="6127" max="6127" width="25.28515625" style="379" customWidth="1"/>
    <col min="6128" max="6129" width="13.7109375" style="379" customWidth="1"/>
    <col min="6130" max="6130" width="12.140625" style="379" customWidth="1"/>
    <col min="6131" max="6131" width="9.7109375" style="379" customWidth="1"/>
    <col min="6132" max="6134" width="12.140625" style="379" customWidth="1"/>
    <col min="6135" max="6135" width="0" style="379" hidden="1" customWidth="1"/>
    <col min="6136" max="6141" width="12.140625" style="379" customWidth="1"/>
    <col min="6142" max="6377" width="11.42578125" style="379"/>
    <col min="6378" max="6378" width="18.140625" style="379" customWidth="1"/>
    <col min="6379" max="6379" width="46.140625" style="379" customWidth="1"/>
    <col min="6380" max="6380" width="10" style="379" customWidth="1"/>
    <col min="6381" max="6381" width="12.42578125" style="379" customWidth="1"/>
    <col min="6382" max="6382" width="16.140625" style="379" customWidth="1"/>
    <col min="6383" max="6383" width="25.28515625" style="379" customWidth="1"/>
    <col min="6384" max="6385" width="13.7109375" style="379" customWidth="1"/>
    <col min="6386" max="6386" width="12.140625" style="379" customWidth="1"/>
    <col min="6387" max="6387" width="9.7109375" style="379" customWidth="1"/>
    <col min="6388" max="6390" width="12.140625" style="379" customWidth="1"/>
    <col min="6391" max="6391" width="0" style="379" hidden="1" customWidth="1"/>
    <col min="6392" max="6397" width="12.140625" style="379" customWidth="1"/>
    <col min="6398" max="6633" width="11.42578125" style="379"/>
    <col min="6634" max="6634" width="18.140625" style="379" customWidth="1"/>
    <col min="6635" max="6635" width="46.140625" style="379" customWidth="1"/>
    <col min="6636" max="6636" width="10" style="379" customWidth="1"/>
    <col min="6637" max="6637" width="12.42578125" style="379" customWidth="1"/>
    <col min="6638" max="6638" width="16.140625" style="379" customWidth="1"/>
    <col min="6639" max="6639" width="25.28515625" style="379" customWidth="1"/>
    <col min="6640" max="6641" width="13.7109375" style="379" customWidth="1"/>
    <col min="6642" max="6642" width="12.140625" style="379" customWidth="1"/>
    <col min="6643" max="6643" width="9.7109375" style="379" customWidth="1"/>
    <col min="6644" max="6646" width="12.140625" style="379" customWidth="1"/>
    <col min="6647" max="6647" width="0" style="379" hidden="1" customWidth="1"/>
    <col min="6648" max="6653" width="12.140625" style="379" customWidth="1"/>
    <col min="6654" max="6889" width="11.42578125" style="379"/>
    <col min="6890" max="6890" width="18.140625" style="379" customWidth="1"/>
    <col min="6891" max="6891" width="46.140625" style="379" customWidth="1"/>
    <col min="6892" max="6892" width="10" style="379" customWidth="1"/>
    <col min="6893" max="6893" width="12.42578125" style="379" customWidth="1"/>
    <col min="6894" max="6894" width="16.140625" style="379" customWidth="1"/>
    <col min="6895" max="6895" width="25.28515625" style="379" customWidth="1"/>
    <col min="6896" max="6897" width="13.7109375" style="379" customWidth="1"/>
    <col min="6898" max="6898" width="12.140625" style="379" customWidth="1"/>
    <col min="6899" max="6899" width="9.7109375" style="379" customWidth="1"/>
    <col min="6900" max="6902" width="12.140625" style="379" customWidth="1"/>
    <col min="6903" max="6903" width="0" style="379" hidden="1" customWidth="1"/>
    <col min="6904" max="6909" width="12.140625" style="379" customWidth="1"/>
    <col min="6910" max="7145" width="11.42578125" style="379"/>
    <col min="7146" max="7146" width="18.140625" style="379" customWidth="1"/>
    <col min="7147" max="7147" width="46.140625" style="379" customWidth="1"/>
    <col min="7148" max="7148" width="10" style="379" customWidth="1"/>
    <col min="7149" max="7149" width="12.42578125" style="379" customWidth="1"/>
    <col min="7150" max="7150" width="16.140625" style="379" customWidth="1"/>
    <col min="7151" max="7151" width="25.28515625" style="379" customWidth="1"/>
    <col min="7152" max="7153" width="13.7109375" style="379" customWidth="1"/>
    <col min="7154" max="7154" width="12.140625" style="379" customWidth="1"/>
    <col min="7155" max="7155" width="9.7109375" style="379" customWidth="1"/>
    <col min="7156" max="7158" width="12.140625" style="379" customWidth="1"/>
    <col min="7159" max="7159" width="0" style="379" hidden="1" customWidth="1"/>
    <col min="7160" max="7165" width="12.140625" style="379" customWidth="1"/>
    <col min="7166" max="7401" width="11.42578125" style="379"/>
    <col min="7402" max="7402" width="18.140625" style="379" customWidth="1"/>
    <col min="7403" max="7403" width="46.140625" style="379" customWidth="1"/>
    <col min="7404" max="7404" width="10" style="379" customWidth="1"/>
    <col min="7405" max="7405" width="12.42578125" style="379" customWidth="1"/>
    <col min="7406" max="7406" width="16.140625" style="379" customWidth="1"/>
    <col min="7407" max="7407" width="25.28515625" style="379" customWidth="1"/>
    <col min="7408" max="7409" width="13.7109375" style="379" customWidth="1"/>
    <col min="7410" max="7410" width="12.140625" style="379" customWidth="1"/>
    <col min="7411" max="7411" width="9.7109375" style="379" customWidth="1"/>
    <col min="7412" max="7414" width="12.140625" style="379" customWidth="1"/>
    <col min="7415" max="7415" width="0" style="379" hidden="1" customWidth="1"/>
    <col min="7416" max="7421" width="12.140625" style="379" customWidth="1"/>
    <col min="7422" max="7657" width="11.42578125" style="379"/>
    <col min="7658" max="7658" width="18.140625" style="379" customWidth="1"/>
    <col min="7659" max="7659" width="46.140625" style="379" customWidth="1"/>
    <col min="7660" max="7660" width="10" style="379" customWidth="1"/>
    <col min="7661" max="7661" width="12.42578125" style="379" customWidth="1"/>
    <col min="7662" max="7662" width="16.140625" style="379" customWidth="1"/>
    <col min="7663" max="7663" width="25.28515625" style="379" customWidth="1"/>
    <col min="7664" max="7665" width="13.7109375" style="379" customWidth="1"/>
    <col min="7666" max="7666" width="12.140625" style="379" customWidth="1"/>
    <col min="7667" max="7667" width="9.7109375" style="379" customWidth="1"/>
    <col min="7668" max="7670" width="12.140625" style="379" customWidth="1"/>
    <col min="7671" max="7671" width="0" style="379" hidden="1" customWidth="1"/>
    <col min="7672" max="7677" width="12.140625" style="379" customWidth="1"/>
    <col min="7678" max="7913" width="11.42578125" style="379"/>
    <col min="7914" max="7914" width="18.140625" style="379" customWidth="1"/>
    <col min="7915" max="7915" width="46.140625" style="379" customWidth="1"/>
    <col min="7916" max="7916" width="10" style="379" customWidth="1"/>
    <col min="7917" max="7917" width="12.42578125" style="379" customWidth="1"/>
    <col min="7918" max="7918" width="16.140625" style="379" customWidth="1"/>
    <col min="7919" max="7919" width="25.28515625" style="379" customWidth="1"/>
    <col min="7920" max="7921" width="13.7109375" style="379" customWidth="1"/>
    <col min="7922" max="7922" width="12.140625" style="379" customWidth="1"/>
    <col min="7923" max="7923" width="9.7109375" style="379" customWidth="1"/>
    <col min="7924" max="7926" width="12.140625" style="379" customWidth="1"/>
    <col min="7927" max="7927" width="0" style="379" hidden="1" customWidth="1"/>
    <col min="7928" max="7933" width="12.140625" style="379" customWidth="1"/>
    <col min="7934" max="8169" width="11.42578125" style="379"/>
    <col min="8170" max="8170" width="18.140625" style="379" customWidth="1"/>
    <col min="8171" max="8171" width="46.140625" style="379" customWidth="1"/>
    <col min="8172" max="8172" width="10" style="379" customWidth="1"/>
    <col min="8173" max="8173" width="12.42578125" style="379" customWidth="1"/>
    <col min="8174" max="8174" width="16.140625" style="379" customWidth="1"/>
    <col min="8175" max="8175" width="25.28515625" style="379" customWidth="1"/>
    <col min="8176" max="8177" width="13.7109375" style="379" customWidth="1"/>
    <col min="8178" max="8178" width="12.140625" style="379" customWidth="1"/>
    <col min="8179" max="8179" width="9.7109375" style="379" customWidth="1"/>
    <col min="8180" max="8182" width="12.140625" style="379" customWidth="1"/>
    <col min="8183" max="8183" width="0" style="379" hidden="1" customWidth="1"/>
    <col min="8184" max="8189" width="12.140625" style="379" customWidth="1"/>
    <col min="8190" max="8425" width="11.42578125" style="379"/>
    <col min="8426" max="8426" width="18.140625" style="379" customWidth="1"/>
    <col min="8427" max="8427" width="46.140625" style="379" customWidth="1"/>
    <col min="8428" max="8428" width="10" style="379" customWidth="1"/>
    <col min="8429" max="8429" width="12.42578125" style="379" customWidth="1"/>
    <col min="8430" max="8430" width="16.140625" style="379" customWidth="1"/>
    <col min="8431" max="8431" width="25.28515625" style="379" customWidth="1"/>
    <col min="8432" max="8433" width="13.7109375" style="379" customWidth="1"/>
    <col min="8434" max="8434" width="12.140625" style="379" customWidth="1"/>
    <col min="8435" max="8435" width="9.7109375" style="379" customWidth="1"/>
    <col min="8436" max="8438" width="12.140625" style="379" customWidth="1"/>
    <col min="8439" max="8439" width="0" style="379" hidden="1" customWidth="1"/>
    <col min="8440" max="8445" width="12.140625" style="379" customWidth="1"/>
    <col min="8446" max="8681" width="11.42578125" style="379"/>
    <col min="8682" max="8682" width="18.140625" style="379" customWidth="1"/>
    <col min="8683" max="8683" width="46.140625" style="379" customWidth="1"/>
    <col min="8684" max="8684" width="10" style="379" customWidth="1"/>
    <col min="8685" max="8685" width="12.42578125" style="379" customWidth="1"/>
    <col min="8686" max="8686" width="16.140625" style="379" customWidth="1"/>
    <col min="8687" max="8687" width="25.28515625" style="379" customWidth="1"/>
    <col min="8688" max="8689" width="13.7109375" style="379" customWidth="1"/>
    <col min="8690" max="8690" width="12.140625" style="379" customWidth="1"/>
    <col min="8691" max="8691" width="9.7109375" style="379" customWidth="1"/>
    <col min="8692" max="8694" width="12.140625" style="379" customWidth="1"/>
    <col min="8695" max="8695" width="0" style="379" hidden="1" customWidth="1"/>
    <col min="8696" max="8701" width="12.140625" style="379" customWidth="1"/>
    <col min="8702" max="8937" width="11.42578125" style="379"/>
    <col min="8938" max="8938" width="18.140625" style="379" customWidth="1"/>
    <col min="8939" max="8939" width="46.140625" style="379" customWidth="1"/>
    <col min="8940" max="8940" width="10" style="379" customWidth="1"/>
    <col min="8941" max="8941" width="12.42578125" style="379" customWidth="1"/>
    <col min="8942" max="8942" width="16.140625" style="379" customWidth="1"/>
    <col min="8943" max="8943" width="25.28515625" style="379" customWidth="1"/>
    <col min="8944" max="8945" width="13.7109375" style="379" customWidth="1"/>
    <col min="8946" max="8946" width="12.140625" style="379" customWidth="1"/>
    <col min="8947" max="8947" width="9.7109375" style="379" customWidth="1"/>
    <col min="8948" max="8950" width="12.140625" style="379" customWidth="1"/>
    <col min="8951" max="8951" width="0" style="379" hidden="1" customWidth="1"/>
    <col min="8952" max="8957" width="12.140625" style="379" customWidth="1"/>
    <col min="8958" max="9193" width="11.42578125" style="379"/>
    <col min="9194" max="9194" width="18.140625" style="379" customWidth="1"/>
    <col min="9195" max="9195" width="46.140625" style="379" customWidth="1"/>
    <col min="9196" max="9196" width="10" style="379" customWidth="1"/>
    <col min="9197" max="9197" width="12.42578125" style="379" customWidth="1"/>
    <col min="9198" max="9198" width="16.140625" style="379" customWidth="1"/>
    <col min="9199" max="9199" width="25.28515625" style="379" customWidth="1"/>
    <col min="9200" max="9201" width="13.7109375" style="379" customWidth="1"/>
    <col min="9202" max="9202" width="12.140625" style="379" customWidth="1"/>
    <col min="9203" max="9203" width="9.7109375" style="379" customWidth="1"/>
    <col min="9204" max="9206" width="12.140625" style="379" customWidth="1"/>
    <col min="9207" max="9207" width="0" style="379" hidden="1" customWidth="1"/>
    <col min="9208" max="9213" width="12.140625" style="379" customWidth="1"/>
    <col min="9214" max="9449" width="11.42578125" style="379"/>
    <col min="9450" max="9450" width="18.140625" style="379" customWidth="1"/>
    <col min="9451" max="9451" width="46.140625" style="379" customWidth="1"/>
    <col min="9452" max="9452" width="10" style="379" customWidth="1"/>
    <col min="9453" max="9453" width="12.42578125" style="379" customWidth="1"/>
    <col min="9454" max="9454" width="16.140625" style="379" customWidth="1"/>
    <col min="9455" max="9455" width="25.28515625" style="379" customWidth="1"/>
    <col min="9456" max="9457" width="13.7109375" style="379" customWidth="1"/>
    <col min="9458" max="9458" width="12.140625" style="379" customWidth="1"/>
    <col min="9459" max="9459" width="9.7109375" style="379" customWidth="1"/>
    <col min="9460" max="9462" width="12.140625" style="379" customWidth="1"/>
    <col min="9463" max="9463" width="0" style="379" hidden="1" customWidth="1"/>
    <col min="9464" max="9469" width="12.140625" style="379" customWidth="1"/>
    <col min="9470" max="9705" width="11.42578125" style="379"/>
    <col min="9706" max="9706" width="18.140625" style="379" customWidth="1"/>
    <col min="9707" max="9707" width="46.140625" style="379" customWidth="1"/>
    <col min="9708" max="9708" width="10" style="379" customWidth="1"/>
    <col min="9709" max="9709" width="12.42578125" style="379" customWidth="1"/>
    <col min="9710" max="9710" width="16.140625" style="379" customWidth="1"/>
    <col min="9711" max="9711" width="25.28515625" style="379" customWidth="1"/>
    <col min="9712" max="9713" width="13.7109375" style="379" customWidth="1"/>
    <col min="9714" max="9714" width="12.140625" style="379" customWidth="1"/>
    <col min="9715" max="9715" width="9.7109375" style="379" customWidth="1"/>
    <col min="9716" max="9718" width="12.140625" style="379" customWidth="1"/>
    <col min="9719" max="9719" width="0" style="379" hidden="1" customWidth="1"/>
    <col min="9720" max="9725" width="12.140625" style="379" customWidth="1"/>
    <col min="9726" max="9961" width="11.42578125" style="379"/>
    <col min="9962" max="9962" width="18.140625" style="379" customWidth="1"/>
    <col min="9963" max="9963" width="46.140625" style="379" customWidth="1"/>
    <col min="9964" max="9964" width="10" style="379" customWidth="1"/>
    <col min="9965" max="9965" width="12.42578125" style="379" customWidth="1"/>
    <col min="9966" max="9966" width="16.140625" style="379" customWidth="1"/>
    <col min="9967" max="9967" width="25.28515625" style="379" customWidth="1"/>
    <col min="9968" max="9969" width="13.7109375" style="379" customWidth="1"/>
    <col min="9970" max="9970" width="12.140625" style="379" customWidth="1"/>
    <col min="9971" max="9971" width="9.7109375" style="379" customWidth="1"/>
    <col min="9972" max="9974" width="12.140625" style="379" customWidth="1"/>
    <col min="9975" max="9975" width="0" style="379" hidden="1" customWidth="1"/>
    <col min="9976" max="9981" width="12.140625" style="379" customWidth="1"/>
    <col min="9982" max="10217" width="11.42578125" style="379"/>
    <col min="10218" max="10218" width="18.140625" style="379" customWidth="1"/>
    <col min="10219" max="10219" width="46.140625" style="379" customWidth="1"/>
    <col min="10220" max="10220" width="10" style="379" customWidth="1"/>
    <col min="10221" max="10221" width="12.42578125" style="379" customWidth="1"/>
    <col min="10222" max="10222" width="16.140625" style="379" customWidth="1"/>
    <col min="10223" max="10223" width="25.28515625" style="379" customWidth="1"/>
    <col min="10224" max="10225" width="13.7109375" style="379" customWidth="1"/>
    <col min="10226" max="10226" width="12.140625" style="379" customWidth="1"/>
    <col min="10227" max="10227" width="9.7109375" style="379" customWidth="1"/>
    <col min="10228" max="10230" width="12.140625" style="379" customWidth="1"/>
    <col min="10231" max="10231" width="0" style="379" hidden="1" customWidth="1"/>
    <col min="10232" max="10237" width="12.140625" style="379" customWidth="1"/>
    <col min="10238" max="10473" width="11.42578125" style="379"/>
    <col min="10474" max="10474" width="18.140625" style="379" customWidth="1"/>
    <col min="10475" max="10475" width="46.140625" style="379" customWidth="1"/>
    <col min="10476" max="10476" width="10" style="379" customWidth="1"/>
    <col min="10477" max="10477" width="12.42578125" style="379" customWidth="1"/>
    <col min="10478" max="10478" width="16.140625" style="379" customWidth="1"/>
    <col min="10479" max="10479" width="25.28515625" style="379" customWidth="1"/>
    <col min="10480" max="10481" width="13.7109375" style="379" customWidth="1"/>
    <col min="10482" max="10482" width="12.140625" style="379" customWidth="1"/>
    <col min="10483" max="10483" width="9.7109375" style="379" customWidth="1"/>
    <col min="10484" max="10486" width="12.140625" style="379" customWidth="1"/>
    <col min="10487" max="10487" width="0" style="379" hidden="1" customWidth="1"/>
    <col min="10488" max="10493" width="12.140625" style="379" customWidth="1"/>
    <col min="10494" max="10729" width="11.42578125" style="379"/>
    <col min="10730" max="10730" width="18.140625" style="379" customWidth="1"/>
    <col min="10731" max="10731" width="46.140625" style="379" customWidth="1"/>
    <col min="10732" max="10732" width="10" style="379" customWidth="1"/>
    <col min="10733" max="10733" width="12.42578125" style="379" customWidth="1"/>
    <col min="10734" max="10734" width="16.140625" style="379" customWidth="1"/>
    <col min="10735" max="10735" width="25.28515625" style="379" customWidth="1"/>
    <col min="10736" max="10737" width="13.7109375" style="379" customWidth="1"/>
    <col min="10738" max="10738" width="12.140625" style="379" customWidth="1"/>
    <col min="10739" max="10739" width="9.7109375" style="379" customWidth="1"/>
    <col min="10740" max="10742" width="12.140625" style="379" customWidth="1"/>
    <col min="10743" max="10743" width="0" style="379" hidden="1" customWidth="1"/>
    <col min="10744" max="10749" width="12.140625" style="379" customWidth="1"/>
    <col min="10750" max="10985" width="11.42578125" style="379"/>
    <col min="10986" max="10986" width="18.140625" style="379" customWidth="1"/>
    <col min="10987" max="10987" width="46.140625" style="379" customWidth="1"/>
    <col min="10988" max="10988" width="10" style="379" customWidth="1"/>
    <col min="10989" max="10989" width="12.42578125" style="379" customWidth="1"/>
    <col min="10990" max="10990" width="16.140625" style="379" customWidth="1"/>
    <col min="10991" max="10991" width="25.28515625" style="379" customWidth="1"/>
    <col min="10992" max="10993" width="13.7109375" style="379" customWidth="1"/>
    <col min="10994" max="10994" width="12.140625" style="379" customWidth="1"/>
    <col min="10995" max="10995" width="9.7109375" style="379" customWidth="1"/>
    <col min="10996" max="10998" width="12.140625" style="379" customWidth="1"/>
    <col min="10999" max="10999" width="0" style="379" hidden="1" customWidth="1"/>
    <col min="11000" max="11005" width="12.140625" style="379" customWidth="1"/>
    <col min="11006" max="11241" width="11.42578125" style="379"/>
    <col min="11242" max="11242" width="18.140625" style="379" customWidth="1"/>
    <col min="11243" max="11243" width="46.140625" style="379" customWidth="1"/>
    <col min="11244" max="11244" width="10" style="379" customWidth="1"/>
    <col min="11245" max="11245" width="12.42578125" style="379" customWidth="1"/>
    <col min="11246" max="11246" width="16.140625" style="379" customWidth="1"/>
    <col min="11247" max="11247" width="25.28515625" style="379" customWidth="1"/>
    <col min="11248" max="11249" width="13.7109375" style="379" customWidth="1"/>
    <col min="11250" max="11250" width="12.140625" style="379" customWidth="1"/>
    <col min="11251" max="11251" width="9.7109375" style="379" customWidth="1"/>
    <col min="11252" max="11254" width="12.140625" style="379" customWidth="1"/>
    <col min="11255" max="11255" width="0" style="379" hidden="1" customWidth="1"/>
    <col min="11256" max="11261" width="12.140625" style="379" customWidth="1"/>
    <col min="11262" max="11497" width="11.42578125" style="379"/>
    <col min="11498" max="11498" width="18.140625" style="379" customWidth="1"/>
    <col min="11499" max="11499" width="46.140625" style="379" customWidth="1"/>
    <col min="11500" max="11500" width="10" style="379" customWidth="1"/>
    <col min="11501" max="11501" width="12.42578125" style="379" customWidth="1"/>
    <col min="11502" max="11502" width="16.140625" style="379" customWidth="1"/>
    <col min="11503" max="11503" width="25.28515625" style="379" customWidth="1"/>
    <col min="11504" max="11505" width="13.7109375" style="379" customWidth="1"/>
    <col min="11506" max="11506" width="12.140625" style="379" customWidth="1"/>
    <col min="11507" max="11507" width="9.7109375" style="379" customWidth="1"/>
    <col min="11508" max="11510" width="12.140625" style="379" customWidth="1"/>
    <col min="11511" max="11511" width="0" style="379" hidden="1" customWidth="1"/>
    <col min="11512" max="11517" width="12.140625" style="379" customWidth="1"/>
    <col min="11518" max="11753" width="11.42578125" style="379"/>
    <col min="11754" max="11754" width="18.140625" style="379" customWidth="1"/>
    <col min="11755" max="11755" width="46.140625" style="379" customWidth="1"/>
    <col min="11756" max="11756" width="10" style="379" customWidth="1"/>
    <col min="11757" max="11757" width="12.42578125" style="379" customWidth="1"/>
    <col min="11758" max="11758" width="16.140625" style="379" customWidth="1"/>
    <col min="11759" max="11759" width="25.28515625" style="379" customWidth="1"/>
    <col min="11760" max="11761" width="13.7109375" style="379" customWidth="1"/>
    <col min="11762" max="11762" width="12.140625" style="379" customWidth="1"/>
    <col min="11763" max="11763" width="9.7109375" style="379" customWidth="1"/>
    <col min="11764" max="11766" width="12.140625" style="379" customWidth="1"/>
    <col min="11767" max="11767" width="0" style="379" hidden="1" customWidth="1"/>
    <col min="11768" max="11773" width="12.140625" style="379" customWidth="1"/>
    <col min="11774" max="12009" width="11.42578125" style="379"/>
    <col min="12010" max="12010" width="18.140625" style="379" customWidth="1"/>
    <col min="12011" max="12011" width="46.140625" style="379" customWidth="1"/>
    <col min="12012" max="12012" width="10" style="379" customWidth="1"/>
    <col min="12013" max="12013" width="12.42578125" style="379" customWidth="1"/>
    <col min="12014" max="12014" width="16.140625" style="379" customWidth="1"/>
    <col min="12015" max="12015" width="25.28515625" style="379" customWidth="1"/>
    <col min="12016" max="12017" width="13.7109375" style="379" customWidth="1"/>
    <col min="12018" max="12018" width="12.140625" style="379" customWidth="1"/>
    <col min="12019" max="12019" width="9.7109375" style="379" customWidth="1"/>
    <col min="12020" max="12022" width="12.140625" style="379" customWidth="1"/>
    <col min="12023" max="12023" width="0" style="379" hidden="1" customWidth="1"/>
    <col min="12024" max="12029" width="12.140625" style="379" customWidth="1"/>
    <col min="12030" max="12265" width="11.42578125" style="379"/>
    <col min="12266" max="12266" width="18.140625" style="379" customWidth="1"/>
    <col min="12267" max="12267" width="46.140625" style="379" customWidth="1"/>
    <col min="12268" max="12268" width="10" style="379" customWidth="1"/>
    <col min="12269" max="12269" width="12.42578125" style="379" customWidth="1"/>
    <col min="12270" max="12270" width="16.140625" style="379" customWidth="1"/>
    <col min="12271" max="12271" width="25.28515625" style="379" customWidth="1"/>
    <col min="12272" max="12273" width="13.7109375" style="379" customWidth="1"/>
    <col min="12274" max="12274" width="12.140625" style="379" customWidth="1"/>
    <col min="12275" max="12275" width="9.7109375" style="379" customWidth="1"/>
    <col min="12276" max="12278" width="12.140625" style="379" customWidth="1"/>
    <col min="12279" max="12279" width="0" style="379" hidden="1" customWidth="1"/>
    <col min="12280" max="12285" width="12.140625" style="379" customWidth="1"/>
    <col min="12286" max="12521" width="11.42578125" style="379"/>
    <col min="12522" max="12522" width="18.140625" style="379" customWidth="1"/>
    <col min="12523" max="12523" width="46.140625" style="379" customWidth="1"/>
    <col min="12524" max="12524" width="10" style="379" customWidth="1"/>
    <col min="12525" max="12525" width="12.42578125" style="379" customWidth="1"/>
    <col min="12526" max="12526" width="16.140625" style="379" customWidth="1"/>
    <col min="12527" max="12527" width="25.28515625" style="379" customWidth="1"/>
    <col min="12528" max="12529" width="13.7109375" style="379" customWidth="1"/>
    <col min="12530" max="12530" width="12.140625" style="379" customWidth="1"/>
    <col min="12531" max="12531" width="9.7109375" style="379" customWidth="1"/>
    <col min="12532" max="12534" width="12.140625" style="379" customWidth="1"/>
    <col min="12535" max="12535" width="0" style="379" hidden="1" customWidth="1"/>
    <col min="12536" max="12541" width="12.140625" style="379" customWidth="1"/>
    <col min="12542" max="12777" width="11.42578125" style="379"/>
    <col min="12778" max="12778" width="18.140625" style="379" customWidth="1"/>
    <col min="12779" max="12779" width="46.140625" style="379" customWidth="1"/>
    <col min="12780" max="12780" width="10" style="379" customWidth="1"/>
    <col min="12781" max="12781" width="12.42578125" style="379" customWidth="1"/>
    <col min="12782" max="12782" width="16.140625" style="379" customWidth="1"/>
    <col min="12783" max="12783" width="25.28515625" style="379" customWidth="1"/>
    <col min="12784" max="12785" width="13.7109375" style="379" customWidth="1"/>
    <col min="12786" max="12786" width="12.140625" style="379" customWidth="1"/>
    <col min="12787" max="12787" width="9.7109375" style="379" customWidth="1"/>
    <col min="12788" max="12790" width="12.140625" style="379" customWidth="1"/>
    <col min="12791" max="12791" width="0" style="379" hidden="1" customWidth="1"/>
    <col min="12792" max="12797" width="12.140625" style="379" customWidth="1"/>
    <col min="12798" max="13033" width="11.42578125" style="379"/>
    <col min="13034" max="13034" width="18.140625" style="379" customWidth="1"/>
    <col min="13035" max="13035" width="46.140625" style="379" customWidth="1"/>
    <col min="13036" max="13036" width="10" style="379" customWidth="1"/>
    <col min="13037" max="13037" width="12.42578125" style="379" customWidth="1"/>
    <col min="13038" max="13038" width="16.140625" style="379" customWidth="1"/>
    <col min="13039" max="13039" width="25.28515625" style="379" customWidth="1"/>
    <col min="13040" max="13041" width="13.7109375" style="379" customWidth="1"/>
    <col min="13042" max="13042" width="12.140625" style="379" customWidth="1"/>
    <col min="13043" max="13043" width="9.7109375" style="379" customWidth="1"/>
    <col min="13044" max="13046" width="12.140625" style="379" customWidth="1"/>
    <col min="13047" max="13047" width="0" style="379" hidden="1" customWidth="1"/>
    <col min="13048" max="13053" width="12.140625" style="379" customWidth="1"/>
    <col min="13054" max="13289" width="11.42578125" style="379"/>
    <col min="13290" max="13290" width="18.140625" style="379" customWidth="1"/>
    <col min="13291" max="13291" width="46.140625" style="379" customWidth="1"/>
    <col min="13292" max="13292" width="10" style="379" customWidth="1"/>
    <col min="13293" max="13293" width="12.42578125" style="379" customWidth="1"/>
    <col min="13294" max="13294" width="16.140625" style="379" customWidth="1"/>
    <col min="13295" max="13295" width="25.28515625" style="379" customWidth="1"/>
    <col min="13296" max="13297" width="13.7109375" style="379" customWidth="1"/>
    <col min="13298" max="13298" width="12.140625" style="379" customWidth="1"/>
    <col min="13299" max="13299" width="9.7109375" style="379" customWidth="1"/>
    <col min="13300" max="13302" width="12.140625" style="379" customWidth="1"/>
    <col min="13303" max="13303" width="0" style="379" hidden="1" customWidth="1"/>
    <col min="13304" max="13309" width="12.140625" style="379" customWidth="1"/>
    <col min="13310" max="13545" width="11.42578125" style="379"/>
    <col min="13546" max="13546" width="18.140625" style="379" customWidth="1"/>
    <col min="13547" max="13547" width="46.140625" style="379" customWidth="1"/>
    <col min="13548" max="13548" width="10" style="379" customWidth="1"/>
    <col min="13549" max="13549" width="12.42578125" style="379" customWidth="1"/>
    <col min="13550" max="13550" width="16.140625" style="379" customWidth="1"/>
    <col min="13551" max="13551" width="25.28515625" style="379" customWidth="1"/>
    <col min="13552" max="13553" width="13.7109375" style="379" customWidth="1"/>
    <col min="13554" max="13554" width="12.140625" style="379" customWidth="1"/>
    <col min="13555" max="13555" width="9.7109375" style="379" customWidth="1"/>
    <col min="13556" max="13558" width="12.140625" style="379" customWidth="1"/>
    <col min="13559" max="13559" width="0" style="379" hidden="1" customWidth="1"/>
    <col min="13560" max="13565" width="12.140625" style="379" customWidth="1"/>
    <col min="13566" max="13801" width="11.42578125" style="379"/>
    <col min="13802" max="13802" width="18.140625" style="379" customWidth="1"/>
    <col min="13803" max="13803" width="46.140625" style="379" customWidth="1"/>
    <col min="13804" max="13804" width="10" style="379" customWidth="1"/>
    <col min="13805" max="13805" width="12.42578125" style="379" customWidth="1"/>
    <col min="13806" max="13806" width="16.140625" style="379" customWidth="1"/>
    <col min="13807" max="13807" width="25.28515625" style="379" customWidth="1"/>
    <col min="13808" max="13809" width="13.7109375" style="379" customWidth="1"/>
    <col min="13810" max="13810" width="12.140625" style="379" customWidth="1"/>
    <col min="13811" max="13811" width="9.7109375" style="379" customWidth="1"/>
    <col min="13812" max="13814" width="12.140625" style="379" customWidth="1"/>
    <col min="13815" max="13815" width="0" style="379" hidden="1" customWidth="1"/>
    <col min="13816" max="13821" width="12.140625" style="379" customWidth="1"/>
    <col min="13822" max="14057" width="11.42578125" style="379"/>
    <col min="14058" max="14058" width="18.140625" style="379" customWidth="1"/>
    <col min="14059" max="14059" width="46.140625" style="379" customWidth="1"/>
    <col min="14060" max="14060" width="10" style="379" customWidth="1"/>
    <col min="14061" max="14061" width="12.42578125" style="379" customWidth="1"/>
    <col min="14062" max="14062" width="16.140625" style="379" customWidth="1"/>
    <col min="14063" max="14063" width="25.28515625" style="379" customWidth="1"/>
    <col min="14064" max="14065" width="13.7109375" style="379" customWidth="1"/>
    <col min="14066" max="14066" width="12.140625" style="379" customWidth="1"/>
    <col min="14067" max="14067" width="9.7109375" style="379" customWidth="1"/>
    <col min="14068" max="14070" width="12.140625" style="379" customWidth="1"/>
    <col min="14071" max="14071" width="0" style="379" hidden="1" customWidth="1"/>
    <col min="14072" max="14077" width="12.140625" style="379" customWidth="1"/>
    <col min="14078" max="14313" width="11.42578125" style="379"/>
    <col min="14314" max="14314" width="18.140625" style="379" customWidth="1"/>
    <col min="14315" max="14315" width="46.140625" style="379" customWidth="1"/>
    <col min="14316" max="14316" width="10" style="379" customWidth="1"/>
    <col min="14317" max="14317" width="12.42578125" style="379" customWidth="1"/>
    <col min="14318" max="14318" width="16.140625" style="379" customWidth="1"/>
    <col min="14319" max="14319" width="25.28515625" style="379" customWidth="1"/>
    <col min="14320" max="14321" width="13.7109375" style="379" customWidth="1"/>
    <col min="14322" max="14322" width="12.140625" style="379" customWidth="1"/>
    <col min="14323" max="14323" width="9.7109375" style="379" customWidth="1"/>
    <col min="14324" max="14326" width="12.140625" style="379" customWidth="1"/>
    <col min="14327" max="14327" width="0" style="379" hidden="1" customWidth="1"/>
    <col min="14328" max="14333" width="12.140625" style="379" customWidth="1"/>
    <col min="14334" max="14569" width="11.42578125" style="379"/>
    <col min="14570" max="14570" width="18.140625" style="379" customWidth="1"/>
    <col min="14571" max="14571" width="46.140625" style="379" customWidth="1"/>
    <col min="14572" max="14572" width="10" style="379" customWidth="1"/>
    <col min="14573" max="14573" width="12.42578125" style="379" customWidth="1"/>
    <col min="14574" max="14574" width="16.140625" style="379" customWidth="1"/>
    <col min="14575" max="14575" width="25.28515625" style="379" customWidth="1"/>
    <col min="14576" max="14577" width="13.7109375" style="379" customWidth="1"/>
    <col min="14578" max="14578" width="12.140625" style="379" customWidth="1"/>
    <col min="14579" max="14579" width="9.7109375" style="379" customWidth="1"/>
    <col min="14580" max="14582" width="12.140625" style="379" customWidth="1"/>
    <col min="14583" max="14583" width="0" style="379" hidden="1" customWidth="1"/>
    <col min="14584" max="14589" width="12.140625" style="379" customWidth="1"/>
    <col min="14590" max="14825" width="11.42578125" style="379"/>
    <col min="14826" max="14826" width="18.140625" style="379" customWidth="1"/>
    <col min="14827" max="14827" width="46.140625" style="379" customWidth="1"/>
    <col min="14828" max="14828" width="10" style="379" customWidth="1"/>
    <col min="14829" max="14829" width="12.42578125" style="379" customWidth="1"/>
    <col min="14830" max="14830" width="16.140625" style="379" customWidth="1"/>
    <col min="14831" max="14831" width="25.28515625" style="379" customWidth="1"/>
    <col min="14832" max="14833" width="13.7109375" style="379" customWidth="1"/>
    <col min="14834" max="14834" width="12.140625" style="379" customWidth="1"/>
    <col min="14835" max="14835" width="9.7109375" style="379" customWidth="1"/>
    <col min="14836" max="14838" width="12.140625" style="379" customWidth="1"/>
    <col min="14839" max="14839" width="0" style="379" hidden="1" customWidth="1"/>
    <col min="14840" max="14845" width="12.140625" style="379" customWidth="1"/>
    <col min="14846" max="15081" width="11.42578125" style="379"/>
    <col min="15082" max="15082" width="18.140625" style="379" customWidth="1"/>
    <col min="15083" max="15083" width="46.140625" style="379" customWidth="1"/>
    <col min="15084" max="15084" width="10" style="379" customWidth="1"/>
    <col min="15085" max="15085" width="12.42578125" style="379" customWidth="1"/>
    <col min="15086" max="15086" width="16.140625" style="379" customWidth="1"/>
    <col min="15087" max="15087" width="25.28515625" style="379" customWidth="1"/>
    <col min="15088" max="15089" width="13.7109375" style="379" customWidth="1"/>
    <col min="15090" max="15090" width="12.140625" style="379" customWidth="1"/>
    <col min="15091" max="15091" width="9.7109375" style="379" customWidth="1"/>
    <col min="15092" max="15094" width="12.140625" style="379" customWidth="1"/>
    <col min="15095" max="15095" width="0" style="379" hidden="1" customWidth="1"/>
    <col min="15096" max="15101" width="12.140625" style="379" customWidth="1"/>
    <col min="15102" max="15337" width="11.42578125" style="379"/>
    <col min="15338" max="15338" width="18.140625" style="379" customWidth="1"/>
    <col min="15339" max="15339" width="46.140625" style="379" customWidth="1"/>
    <col min="15340" max="15340" width="10" style="379" customWidth="1"/>
    <col min="15341" max="15341" width="12.42578125" style="379" customWidth="1"/>
    <col min="15342" max="15342" width="16.140625" style="379" customWidth="1"/>
    <col min="15343" max="15343" width="25.28515625" style="379" customWidth="1"/>
    <col min="15344" max="15345" width="13.7109375" style="379" customWidth="1"/>
    <col min="15346" max="15346" width="12.140625" style="379" customWidth="1"/>
    <col min="15347" max="15347" width="9.7109375" style="379" customWidth="1"/>
    <col min="15348" max="15350" width="12.140625" style="379" customWidth="1"/>
    <col min="15351" max="15351" width="0" style="379" hidden="1" customWidth="1"/>
    <col min="15352" max="15357" width="12.140625" style="379" customWidth="1"/>
    <col min="15358" max="15593" width="11.42578125" style="379"/>
    <col min="15594" max="15594" width="18.140625" style="379" customWidth="1"/>
    <col min="15595" max="15595" width="46.140625" style="379" customWidth="1"/>
    <col min="15596" max="15596" width="10" style="379" customWidth="1"/>
    <col min="15597" max="15597" width="12.42578125" style="379" customWidth="1"/>
    <col min="15598" max="15598" width="16.140625" style="379" customWidth="1"/>
    <col min="15599" max="15599" width="25.28515625" style="379" customWidth="1"/>
    <col min="15600" max="15601" width="13.7109375" style="379" customWidth="1"/>
    <col min="15602" max="15602" width="12.140625" style="379" customWidth="1"/>
    <col min="15603" max="15603" width="9.7109375" style="379" customWidth="1"/>
    <col min="15604" max="15606" width="12.140625" style="379" customWidth="1"/>
    <col min="15607" max="15607" width="0" style="379" hidden="1" customWidth="1"/>
    <col min="15608" max="15613" width="12.140625" style="379" customWidth="1"/>
    <col min="15614" max="15849" width="11.42578125" style="379"/>
    <col min="15850" max="15850" width="18.140625" style="379" customWidth="1"/>
    <col min="15851" max="15851" width="46.140625" style="379" customWidth="1"/>
    <col min="15852" max="15852" width="10" style="379" customWidth="1"/>
    <col min="15853" max="15853" width="12.42578125" style="379" customWidth="1"/>
    <col min="15854" max="15854" width="16.140625" style="379" customWidth="1"/>
    <col min="15855" max="15855" width="25.28515625" style="379" customWidth="1"/>
    <col min="15856" max="15857" width="13.7109375" style="379" customWidth="1"/>
    <col min="15858" max="15858" width="12.140625" style="379" customWidth="1"/>
    <col min="15859" max="15859" width="9.7109375" style="379" customWidth="1"/>
    <col min="15860" max="15862" width="12.140625" style="379" customWidth="1"/>
    <col min="15863" max="15863" width="0" style="379" hidden="1" customWidth="1"/>
    <col min="15864" max="15869" width="12.140625" style="379" customWidth="1"/>
    <col min="15870" max="16105" width="11.42578125" style="379"/>
    <col min="16106" max="16106" width="18.140625" style="379" customWidth="1"/>
    <col min="16107" max="16107" width="46.140625" style="379" customWidth="1"/>
    <col min="16108" max="16108" width="10" style="379" customWidth="1"/>
    <col min="16109" max="16109" width="12.42578125" style="379" customWidth="1"/>
    <col min="16110" max="16110" width="16.140625" style="379" customWidth="1"/>
    <col min="16111" max="16111" width="25.28515625" style="379" customWidth="1"/>
    <col min="16112" max="16113" width="13.7109375" style="379" customWidth="1"/>
    <col min="16114" max="16114" width="12.140625" style="379" customWidth="1"/>
    <col min="16115" max="16115" width="9.7109375" style="379" customWidth="1"/>
    <col min="16116" max="16118" width="12.140625" style="379" customWidth="1"/>
    <col min="16119" max="16119" width="0" style="379" hidden="1" customWidth="1"/>
    <col min="16120" max="16125" width="12.140625" style="379" customWidth="1"/>
    <col min="16126" max="16384" width="11.42578125" style="379"/>
  </cols>
  <sheetData>
    <row r="1" spans="1:18" ht="15" customHeight="1">
      <c r="A1" s="611"/>
      <c r="B1" s="553" t="s">
        <v>354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5"/>
    </row>
    <row r="2" spans="1:18" ht="15" customHeight="1">
      <c r="A2" s="611"/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8"/>
    </row>
    <row r="3" spans="1:18" ht="15" customHeight="1">
      <c r="A3" s="611"/>
      <c r="B3" s="559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1"/>
    </row>
    <row r="6" spans="1:18" ht="34.5" customHeight="1">
      <c r="A6" s="426" t="s">
        <v>355</v>
      </c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8" t="s">
        <v>255</v>
      </c>
      <c r="N6" s="429"/>
      <c r="O6" s="430"/>
      <c r="P6" s="431" t="s">
        <v>256</v>
      </c>
      <c r="Q6" s="432"/>
      <c r="R6" s="433"/>
    </row>
    <row r="7" spans="1:18" s="380" customFormat="1" ht="63.75">
      <c r="A7" s="403" t="s">
        <v>356</v>
      </c>
      <c r="B7" s="408" t="s">
        <v>357</v>
      </c>
      <c r="C7" s="408" t="s">
        <v>358</v>
      </c>
      <c r="D7" s="408" t="s">
        <v>359</v>
      </c>
      <c r="E7" s="408" t="s">
        <v>360</v>
      </c>
      <c r="F7" s="408" t="s">
        <v>361</v>
      </c>
      <c r="G7" s="408" t="s">
        <v>362</v>
      </c>
      <c r="H7" s="408" t="s">
        <v>363</v>
      </c>
      <c r="I7" s="408" t="s">
        <v>364</v>
      </c>
      <c r="J7" s="408" t="s">
        <v>365</v>
      </c>
      <c r="K7" s="408" t="s">
        <v>366</v>
      </c>
      <c r="L7" s="405" t="s">
        <v>367</v>
      </c>
      <c r="M7" s="403" t="s">
        <v>368</v>
      </c>
      <c r="N7" s="408" t="s">
        <v>369</v>
      </c>
      <c r="O7" s="405" t="s">
        <v>370</v>
      </c>
      <c r="P7" s="403" t="s">
        <v>368</v>
      </c>
      <c r="Q7" s="408" t="s">
        <v>369</v>
      </c>
      <c r="R7" s="405" t="s">
        <v>370</v>
      </c>
    </row>
    <row r="8" spans="1:18">
      <c r="A8" s="404" t="s">
        <v>371</v>
      </c>
      <c r="B8" s="409" t="s">
        <v>372</v>
      </c>
      <c r="C8" s="409" t="s">
        <v>373</v>
      </c>
      <c r="D8" s="409" t="s">
        <v>243</v>
      </c>
      <c r="E8" s="409" t="s">
        <v>374</v>
      </c>
      <c r="F8" s="409" t="s">
        <v>375</v>
      </c>
      <c r="G8" s="409" t="s">
        <v>376</v>
      </c>
      <c r="H8" s="410" t="s">
        <v>377</v>
      </c>
      <c r="I8" s="410" t="s">
        <v>377</v>
      </c>
      <c r="J8" s="410" t="s">
        <v>378</v>
      </c>
      <c r="K8" s="410" t="s">
        <v>373</v>
      </c>
      <c r="L8" s="406">
        <v>1</v>
      </c>
      <c r="M8" s="411" t="s">
        <v>379</v>
      </c>
      <c r="N8" s="417" t="s">
        <v>379</v>
      </c>
      <c r="O8" s="415" t="s">
        <v>379</v>
      </c>
      <c r="P8" s="411" t="s">
        <v>379</v>
      </c>
      <c r="Q8" s="417" t="s">
        <v>379</v>
      </c>
      <c r="R8" s="415" t="s">
        <v>379</v>
      </c>
    </row>
    <row r="9" spans="1:18">
      <c r="A9" s="404" t="s">
        <v>380</v>
      </c>
      <c r="B9" s="409" t="s">
        <v>381</v>
      </c>
      <c r="C9" s="409"/>
      <c r="D9" s="409" t="s">
        <v>382</v>
      </c>
      <c r="E9" s="409" t="s">
        <v>383</v>
      </c>
      <c r="F9" s="409" t="s">
        <v>384</v>
      </c>
      <c r="G9" s="409" t="s">
        <v>385</v>
      </c>
      <c r="H9" s="410" t="s">
        <v>386</v>
      </c>
      <c r="I9" s="410" t="s">
        <v>377</v>
      </c>
      <c r="J9" s="410" t="s">
        <v>387</v>
      </c>
      <c r="K9" s="410" t="s">
        <v>388</v>
      </c>
      <c r="L9" s="406">
        <v>0.5</v>
      </c>
      <c r="M9" s="422"/>
      <c r="N9" s="423"/>
      <c r="O9" s="424"/>
      <c r="P9" s="422"/>
      <c r="Q9" s="423"/>
      <c r="R9" s="424"/>
    </row>
    <row r="10" spans="1:18">
      <c r="A10" s="404" t="s">
        <v>389</v>
      </c>
      <c r="B10" s="409" t="s">
        <v>390</v>
      </c>
      <c r="C10" s="409"/>
      <c r="D10" s="409" t="s">
        <v>236</v>
      </c>
      <c r="E10" s="409" t="s">
        <v>391</v>
      </c>
      <c r="F10" s="409" t="s">
        <v>375</v>
      </c>
      <c r="G10" s="409" t="s">
        <v>376</v>
      </c>
      <c r="H10" s="410" t="s">
        <v>377</v>
      </c>
      <c r="I10" s="410" t="s">
        <v>377</v>
      </c>
      <c r="J10" s="410" t="s">
        <v>392</v>
      </c>
      <c r="K10" s="410"/>
      <c r="L10" s="406">
        <v>1</v>
      </c>
      <c r="M10" s="412">
        <v>45636</v>
      </c>
      <c r="N10" s="467">
        <v>45810</v>
      </c>
      <c r="O10" s="420">
        <v>46007</v>
      </c>
      <c r="P10" s="532">
        <v>46007</v>
      </c>
      <c r="Q10" s="418"/>
      <c r="R10" s="425" t="s">
        <v>379</v>
      </c>
    </row>
    <row r="11" spans="1:18">
      <c r="A11" s="404" t="s">
        <v>393</v>
      </c>
      <c r="B11" s="409" t="s">
        <v>394</v>
      </c>
      <c r="C11" s="409"/>
      <c r="D11" s="409" t="s">
        <v>395</v>
      </c>
      <c r="E11" s="409" t="s">
        <v>383</v>
      </c>
      <c r="F11" s="409" t="s">
        <v>375</v>
      </c>
      <c r="G11" s="409" t="s">
        <v>376</v>
      </c>
      <c r="H11" s="410" t="s">
        <v>377</v>
      </c>
      <c r="I11" s="410" t="s">
        <v>377</v>
      </c>
      <c r="J11" s="410" t="s">
        <v>396</v>
      </c>
      <c r="K11" s="410"/>
      <c r="L11" s="406">
        <v>1</v>
      </c>
      <c r="M11" s="412">
        <v>45628</v>
      </c>
      <c r="N11" s="467">
        <v>45821</v>
      </c>
      <c r="O11" s="415" t="s">
        <v>379</v>
      </c>
      <c r="P11" s="532">
        <v>46008</v>
      </c>
      <c r="Q11" s="418"/>
      <c r="R11" s="421">
        <v>46008</v>
      </c>
    </row>
    <row r="12" spans="1:18">
      <c r="A12" s="404" t="s">
        <v>397</v>
      </c>
      <c r="B12" s="409" t="s">
        <v>398</v>
      </c>
      <c r="C12" s="409"/>
      <c r="D12" s="409" t="s">
        <v>399</v>
      </c>
      <c r="E12" s="409" t="s">
        <v>383</v>
      </c>
      <c r="F12" s="409" t="s">
        <v>384</v>
      </c>
      <c r="G12" s="409" t="s">
        <v>376</v>
      </c>
      <c r="H12" s="410" t="s">
        <v>377</v>
      </c>
      <c r="I12" s="410" t="s">
        <v>377</v>
      </c>
      <c r="J12" s="410" t="s">
        <v>400</v>
      </c>
      <c r="K12" s="410"/>
      <c r="L12" s="406">
        <v>1</v>
      </c>
      <c r="M12" s="412">
        <v>45636</v>
      </c>
      <c r="N12" s="467">
        <v>45811</v>
      </c>
      <c r="O12" s="415" t="s">
        <v>379</v>
      </c>
      <c r="P12" s="532">
        <v>46008</v>
      </c>
      <c r="Q12" s="418"/>
      <c r="R12" s="421"/>
    </row>
    <row r="13" spans="1:18">
      <c r="A13" s="404"/>
      <c r="B13" s="409"/>
      <c r="C13" s="409"/>
      <c r="D13" s="409"/>
      <c r="E13" s="409"/>
      <c r="F13" s="409"/>
      <c r="G13" s="409"/>
      <c r="H13" s="410"/>
      <c r="I13" s="410"/>
      <c r="J13" s="410"/>
      <c r="K13" s="410"/>
      <c r="L13" s="407"/>
      <c r="M13" s="413"/>
      <c r="N13" s="417"/>
      <c r="O13" s="415"/>
      <c r="P13" s="413"/>
      <c r="Q13" s="417"/>
      <c r="R13" s="415"/>
    </row>
    <row r="14" spans="1:18">
      <c r="A14" s="404"/>
      <c r="B14" s="409"/>
      <c r="C14" s="409"/>
      <c r="D14" s="409"/>
      <c r="E14" s="409"/>
      <c r="F14" s="409"/>
      <c r="G14" s="409"/>
      <c r="H14" s="410"/>
      <c r="I14" s="410"/>
      <c r="J14" s="410"/>
      <c r="K14" s="410"/>
      <c r="L14" s="407"/>
      <c r="M14" s="413"/>
      <c r="N14" s="417"/>
      <c r="O14" s="415"/>
      <c r="P14" s="413"/>
      <c r="Q14" s="417"/>
      <c r="R14" s="415"/>
    </row>
    <row r="15" spans="1:18">
      <c r="A15" s="404"/>
      <c r="B15" s="409"/>
      <c r="C15" s="409"/>
      <c r="D15" s="409"/>
      <c r="E15" s="409"/>
      <c r="F15" s="409"/>
      <c r="G15" s="409"/>
      <c r="H15" s="410"/>
      <c r="I15" s="410"/>
      <c r="J15" s="410"/>
      <c r="K15" s="410"/>
      <c r="L15" s="407"/>
      <c r="M15" s="413"/>
      <c r="N15" s="417"/>
      <c r="O15" s="415"/>
      <c r="P15" s="413"/>
      <c r="Q15" s="417"/>
      <c r="R15" s="415"/>
    </row>
    <row r="16" spans="1:18">
      <c r="A16" s="404"/>
      <c r="B16" s="409"/>
      <c r="C16" s="409"/>
      <c r="D16" s="409"/>
      <c r="E16" s="409"/>
      <c r="F16" s="409"/>
      <c r="G16" s="409"/>
      <c r="H16" s="410"/>
      <c r="I16" s="410"/>
      <c r="J16" s="410"/>
      <c r="K16" s="410"/>
      <c r="L16" s="407"/>
      <c r="M16" s="414"/>
      <c r="N16" s="419"/>
      <c r="O16" s="416"/>
      <c r="P16" s="414"/>
      <c r="Q16" s="419"/>
      <c r="R16" s="416"/>
    </row>
    <row r="17" spans="4:18">
      <c r="D17" s="377"/>
      <c r="E17" s="377"/>
      <c r="F17" s="377"/>
      <c r="G17" s="377"/>
      <c r="H17" s="377"/>
      <c r="I17" s="377"/>
      <c r="J17" s="377"/>
      <c r="K17" s="377"/>
      <c r="L17" s="377"/>
      <c r="M17" s="377"/>
      <c r="N17" s="377"/>
      <c r="O17" s="377"/>
      <c r="P17" s="377"/>
      <c r="Q17" s="377"/>
      <c r="R17" s="377"/>
    </row>
    <row r="18" spans="4:18"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</row>
  </sheetData>
  <mergeCells count="2">
    <mergeCell ref="B1:R3"/>
    <mergeCell ref="A1:A3"/>
  </mergeCells>
  <pageMargins left="0.70866141732283472" right="0.70866141732283472" top="0.74803149606299213" bottom="0.74803149606299213" header="0.31496062992125984" footer="0.31496062992125984"/>
  <pageSetup paperSize="9" scale="5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1CDF-87B8-4F6E-B725-ADAC4C008EA9}">
  <sheetPr>
    <tabColor theme="8" tint="0.59999389629810485"/>
    <pageSetUpPr fitToPage="1"/>
  </sheetPr>
  <dimension ref="A1:U42"/>
  <sheetViews>
    <sheetView showGridLines="0" zoomScale="85" zoomScaleNormal="85" workbookViewId="0">
      <selection activeCell="B14" sqref="B14"/>
    </sheetView>
  </sheetViews>
  <sheetFormatPr defaultColWidth="11.42578125" defaultRowHeight="14.25" outlineLevelRow="1" outlineLevelCol="1"/>
  <cols>
    <col min="1" max="1" width="27.85546875" style="378" customWidth="1"/>
    <col min="2" max="8" width="9.5703125" style="378" customWidth="1"/>
    <col min="9" max="17" width="11.42578125" style="378"/>
    <col min="18" max="18" width="11.42578125" style="378" hidden="1" customWidth="1" outlineLevel="1"/>
    <col min="19" max="19" width="25.7109375" style="378" hidden="1" customWidth="1" outlineLevel="1"/>
    <col min="20" max="20" width="28.5703125" style="378" hidden="1" customWidth="1" outlineLevel="1"/>
    <col min="21" max="21" width="11.42578125" style="378" collapsed="1"/>
    <col min="22" max="16384" width="11.42578125" style="378"/>
  </cols>
  <sheetData>
    <row r="1" spans="1:20" ht="15" customHeight="1">
      <c r="A1" s="612"/>
      <c r="B1" s="615" t="s">
        <v>401</v>
      </c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7"/>
      <c r="R1" s="382" t="s">
        <v>402</v>
      </c>
      <c r="S1" s="382" t="s">
        <v>403</v>
      </c>
    </row>
    <row r="2" spans="1:20" ht="15" customHeight="1">
      <c r="A2" s="613"/>
      <c r="B2" s="618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20"/>
      <c r="R2" s="378" t="s">
        <v>404</v>
      </c>
      <c r="S2" s="383">
        <v>45658</v>
      </c>
      <c r="T2" s="383"/>
    </row>
    <row r="3" spans="1:20" ht="15" customHeight="1">
      <c r="A3" s="614"/>
      <c r="B3" s="621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3"/>
      <c r="R3" s="378" t="s">
        <v>405</v>
      </c>
      <c r="S3" s="383">
        <v>45768</v>
      </c>
      <c r="T3" s="383"/>
    </row>
    <row r="4" spans="1:20" ht="20.25">
      <c r="A4" s="384"/>
      <c r="B4" s="384"/>
      <c r="C4" s="384"/>
      <c r="D4" s="384"/>
      <c r="E4" s="384"/>
      <c r="F4" s="384"/>
      <c r="R4" s="378" t="s">
        <v>406</v>
      </c>
      <c r="S4" s="383">
        <v>45778</v>
      </c>
      <c r="T4" s="385"/>
    </row>
    <row r="5" spans="1:20">
      <c r="R5" s="378" t="s">
        <v>407</v>
      </c>
      <c r="S5" s="383">
        <v>45785</v>
      </c>
      <c r="T5" s="385"/>
    </row>
    <row r="6" spans="1:20" ht="15">
      <c r="B6" s="386">
        <f>B7</f>
        <v>45931</v>
      </c>
      <c r="C6" s="386">
        <f t="shared" ref="C6:M6" si="0">C7</f>
        <v>45962</v>
      </c>
      <c r="D6" s="386">
        <f t="shared" si="0"/>
        <v>45992</v>
      </c>
      <c r="E6" s="386">
        <f t="shared" si="0"/>
        <v>46023</v>
      </c>
      <c r="F6" s="386">
        <f t="shared" si="0"/>
        <v>46054</v>
      </c>
      <c r="G6" s="386">
        <f t="shared" si="0"/>
        <v>46082</v>
      </c>
      <c r="H6" s="386">
        <f t="shared" si="0"/>
        <v>46113</v>
      </c>
      <c r="I6" s="386">
        <f t="shared" si="0"/>
        <v>46143</v>
      </c>
      <c r="J6" s="386">
        <f t="shared" si="0"/>
        <v>46174</v>
      </c>
      <c r="K6" s="386">
        <f t="shared" si="0"/>
        <v>46204</v>
      </c>
      <c r="L6" s="386">
        <f t="shared" si="0"/>
        <v>46235</v>
      </c>
      <c r="M6" s="386">
        <f t="shared" si="0"/>
        <v>46266</v>
      </c>
      <c r="N6" s="387" t="s">
        <v>15</v>
      </c>
      <c r="R6" s="378" t="s">
        <v>408</v>
      </c>
      <c r="S6" s="383"/>
      <c r="T6" s="383">
        <v>45437</v>
      </c>
    </row>
    <row r="7" spans="1:20" ht="15" hidden="1" outlineLevel="1">
      <c r="A7" s="378" t="s">
        <v>409</v>
      </c>
      <c r="B7" s="388">
        <v>45931</v>
      </c>
      <c r="C7" s="388">
        <v>45962</v>
      </c>
      <c r="D7" s="388">
        <v>45992</v>
      </c>
      <c r="E7" s="388">
        <v>46023</v>
      </c>
      <c r="F7" s="388">
        <v>46054</v>
      </c>
      <c r="G7" s="388">
        <v>46082</v>
      </c>
      <c r="H7" s="388">
        <v>46113</v>
      </c>
      <c r="I7" s="388">
        <v>46143</v>
      </c>
      <c r="J7" s="388">
        <v>46174</v>
      </c>
      <c r="K7" s="388">
        <v>46204</v>
      </c>
      <c r="L7" s="388">
        <v>46235</v>
      </c>
      <c r="M7" s="388">
        <v>46266</v>
      </c>
      <c r="N7" s="389"/>
      <c r="R7" s="378" t="s">
        <v>410</v>
      </c>
      <c r="S7" s="383">
        <v>45432</v>
      </c>
      <c r="T7" s="383"/>
    </row>
    <row r="8" spans="1:20" ht="15" hidden="1" outlineLevel="1">
      <c r="A8" s="378" t="s">
        <v>411</v>
      </c>
      <c r="B8" s="388">
        <v>45961</v>
      </c>
      <c r="C8" s="388">
        <v>45991</v>
      </c>
      <c r="D8" s="388">
        <v>46022</v>
      </c>
      <c r="E8" s="388">
        <v>46053</v>
      </c>
      <c r="F8" s="388">
        <v>46081</v>
      </c>
      <c r="G8" s="388">
        <v>46112</v>
      </c>
      <c r="H8" s="388">
        <v>46142</v>
      </c>
      <c r="I8" s="388">
        <v>46173</v>
      </c>
      <c r="J8" s="388">
        <v>46203</v>
      </c>
      <c r="K8" s="388">
        <v>46234</v>
      </c>
      <c r="L8" s="388">
        <v>46265</v>
      </c>
      <c r="M8" s="388">
        <v>46295</v>
      </c>
      <c r="N8" s="389"/>
      <c r="R8" s="378" t="s">
        <v>412</v>
      </c>
      <c r="S8" s="383">
        <v>45487</v>
      </c>
      <c r="T8" s="383"/>
    </row>
    <row r="9" spans="1:20" ht="15" collapsed="1">
      <c r="A9" s="387" t="s">
        <v>413</v>
      </c>
      <c r="B9" s="390">
        <f>DATEDIF(B7,B8,"d")+1</f>
        <v>31</v>
      </c>
      <c r="C9" s="390">
        <f t="shared" ref="C9:M9" si="1">DATEDIF(C7,C8,"d")+1</f>
        <v>30</v>
      </c>
      <c r="D9" s="390">
        <f t="shared" si="1"/>
        <v>31</v>
      </c>
      <c r="E9" s="390">
        <f t="shared" si="1"/>
        <v>31</v>
      </c>
      <c r="F9" s="390">
        <f t="shared" si="1"/>
        <v>28</v>
      </c>
      <c r="G9" s="390">
        <f t="shared" si="1"/>
        <v>31</v>
      </c>
      <c r="H9" s="390">
        <f t="shared" si="1"/>
        <v>30</v>
      </c>
      <c r="I9" s="390">
        <f t="shared" si="1"/>
        <v>31</v>
      </c>
      <c r="J9" s="390">
        <f t="shared" si="1"/>
        <v>30</v>
      </c>
      <c r="K9" s="390">
        <f t="shared" si="1"/>
        <v>31</v>
      </c>
      <c r="L9" s="390">
        <f t="shared" si="1"/>
        <v>31</v>
      </c>
      <c r="M9" s="390">
        <f t="shared" si="1"/>
        <v>30</v>
      </c>
      <c r="N9" s="391">
        <f>SUM(B9:M9)</f>
        <v>365</v>
      </c>
      <c r="P9" s="378" t="s">
        <v>414</v>
      </c>
      <c r="S9" s="383"/>
      <c r="T9" s="383"/>
    </row>
    <row r="10" spans="1:20" ht="15">
      <c r="A10" s="387" t="s">
        <v>415</v>
      </c>
      <c r="B10" s="381">
        <f>NETWORKDAYS(B7,B8,$S$2:$S$13)</f>
        <v>23</v>
      </c>
      <c r="C10" s="381">
        <f>NETWORKDAYS(C7,C8,$S$2:$S$13)</f>
        <v>19</v>
      </c>
      <c r="D10" s="381">
        <f>NETWORKDAYS(D7,D8,$S$2:$S$13)</f>
        <v>22</v>
      </c>
      <c r="E10" s="381">
        <f t="shared" ref="E10:M10" si="2">NETWORKDAYS(E7,E8,$S$2:$S$13)</f>
        <v>22</v>
      </c>
      <c r="F10" s="381">
        <f t="shared" si="2"/>
        <v>20</v>
      </c>
      <c r="G10" s="381">
        <f t="shared" si="2"/>
        <v>22</v>
      </c>
      <c r="H10" s="381">
        <f t="shared" si="2"/>
        <v>22</v>
      </c>
      <c r="I10" s="381">
        <f t="shared" si="2"/>
        <v>21</v>
      </c>
      <c r="J10" s="381">
        <f t="shared" si="2"/>
        <v>22</v>
      </c>
      <c r="K10" s="381">
        <f t="shared" si="2"/>
        <v>23</v>
      </c>
      <c r="L10" s="381">
        <f t="shared" si="2"/>
        <v>21</v>
      </c>
      <c r="M10" s="381">
        <f t="shared" si="2"/>
        <v>22</v>
      </c>
      <c r="N10" s="387">
        <f t="shared" ref="N10:N12" si="3">SUM(B10:M10)</f>
        <v>259</v>
      </c>
      <c r="P10" s="378" t="s">
        <v>414</v>
      </c>
      <c r="R10" s="378" t="s">
        <v>416</v>
      </c>
      <c r="S10" s="383">
        <v>45884</v>
      </c>
      <c r="T10" s="385"/>
    </row>
    <row r="11" spans="1:20" ht="15">
      <c r="A11" s="387" t="s">
        <v>417</v>
      </c>
      <c r="B11" s="390">
        <f>B9-NETWORKDAYS(B7,B8)</f>
        <v>8</v>
      </c>
      <c r="C11" s="390">
        <f t="shared" ref="C11:M11" si="4">C9-NETWORKDAYS(C7,C8)</f>
        <v>10</v>
      </c>
      <c r="D11" s="390">
        <f t="shared" si="4"/>
        <v>8</v>
      </c>
      <c r="E11" s="390">
        <f t="shared" si="4"/>
        <v>9</v>
      </c>
      <c r="F11" s="390">
        <f t="shared" si="4"/>
        <v>8</v>
      </c>
      <c r="G11" s="390">
        <f t="shared" si="4"/>
        <v>9</v>
      </c>
      <c r="H11" s="390">
        <v>8</v>
      </c>
      <c r="I11" s="390">
        <f t="shared" si="4"/>
        <v>10</v>
      </c>
      <c r="J11" s="390">
        <f t="shared" si="4"/>
        <v>8</v>
      </c>
      <c r="K11" s="390">
        <f t="shared" si="4"/>
        <v>8</v>
      </c>
      <c r="L11" s="390">
        <f t="shared" si="4"/>
        <v>10</v>
      </c>
      <c r="M11" s="390">
        <f t="shared" si="4"/>
        <v>8</v>
      </c>
      <c r="N11" s="387">
        <f t="shared" si="3"/>
        <v>104</v>
      </c>
      <c r="P11" s="378" t="s">
        <v>414</v>
      </c>
      <c r="R11" s="378" t="s">
        <v>418</v>
      </c>
      <c r="S11" s="392"/>
      <c r="T11" s="392">
        <v>45962</v>
      </c>
    </row>
    <row r="12" spans="1:20" ht="15">
      <c r="A12" s="387" t="s">
        <v>419</v>
      </c>
      <c r="B12" s="381" cm="1">
        <f t="array" ref="B12">SUMPRODUCT(($S$2:$S$13&gt;=B7)*($S$2:$S$13&lt;=B8))</f>
        <v>0</v>
      </c>
      <c r="C12" s="381">
        <f t="shared" ref="C12:M12" si="5">SUMPRODUCT(($S$2:$S$13&gt;=C7)*($S$2:$S$13&lt;=C8))</f>
        <v>1</v>
      </c>
      <c r="D12" s="381">
        <f t="shared" si="5"/>
        <v>1</v>
      </c>
      <c r="E12" s="381">
        <f t="shared" si="5"/>
        <v>0</v>
      </c>
      <c r="F12" s="381">
        <f t="shared" si="5"/>
        <v>0</v>
      </c>
      <c r="G12" s="381">
        <f t="shared" si="5"/>
        <v>0</v>
      </c>
      <c r="H12" s="381">
        <f t="shared" si="5"/>
        <v>0</v>
      </c>
      <c r="I12" s="381">
        <f t="shared" si="5"/>
        <v>0</v>
      </c>
      <c r="J12" s="381">
        <f t="shared" si="5"/>
        <v>0</v>
      </c>
      <c r="K12" s="381">
        <f t="shared" si="5"/>
        <v>0</v>
      </c>
      <c r="L12" s="381">
        <f t="shared" si="5"/>
        <v>0</v>
      </c>
      <c r="M12" s="381">
        <f t="shared" si="5"/>
        <v>0</v>
      </c>
      <c r="N12" s="387">
        <f t="shared" si="3"/>
        <v>2</v>
      </c>
      <c r="P12" s="378" t="s">
        <v>414</v>
      </c>
      <c r="R12" s="378" t="s">
        <v>420</v>
      </c>
      <c r="S12" s="383">
        <v>45972</v>
      </c>
      <c r="T12" s="383"/>
    </row>
    <row r="13" spans="1:20" ht="15">
      <c r="N13" s="393"/>
      <c r="R13" s="378" t="s">
        <v>421</v>
      </c>
      <c r="S13" s="383">
        <v>46016</v>
      </c>
      <c r="T13" s="385"/>
    </row>
    <row r="14" spans="1:20" ht="18">
      <c r="A14" s="387" t="s">
        <v>422</v>
      </c>
      <c r="B14" s="468"/>
      <c r="C14" s="468"/>
      <c r="D14" s="468"/>
      <c r="E14" s="468"/>
      <c r="F14" s="468"/>
      <c r="G14" s="468"/>
      <c r="H14" s="468"/>
      <c r="I14" s="468"/>
      <c r="J14" s="468"/>
      <c r="K14" s="468"/>
      <c r="L14" s="468"/>
      <c r="M14" s="468"/>
      <c r="N14" s="394">
        <f>IFERROR(AVERAGE(B14:M14),0)</f>
        <v>0</v>
      </c>
      <c r="R14" s="395"/>
    </row>
    <row r="15" spans="1:20" ht="18">
      <c r="N15" s="393"/>
      <c r="R15" s="395"/>
    </row>
    <row r="16" spans="1:20" ht="18">
      <c r="A16" s="387" t="s">
        <v>423</v>
      </c>
      <c r="N16" s="393"/>
      <c r="R16" s="395"/>
    </row>
    <row r="17" spans="1:18" ht="18">
      <c r="A17" s="387" t="s">
        <v>424</v>
      </c>
      <c r="B17" s="468"/>
      <c r="C17" s="468"/>
      <c r="D17" s="468"/>
      <c r="E17" s="468"/>
      <c r="F17" s="468"/>
      <c r="G17" s="468"/>
      <c r="H17" s="468"/>
      <c r="I17" s="468"/>
      <c r="J17" s="468"/>
      <c r="K17" s="468"/>
      <c r="L17" s="468"/>
      <c r="M17" s="468"/>
      <c r="N17" s="387">
        <f t="shared" ref="N17:N20" si="6">SUM(B17:M17)</f>
        <v>0</v>
      </c>
      <c r="R17" s="395"/>
    </row>
    <row r="18" spans="1:18" ht="18">
      <c r="A18" s="387" t="s">
        <v>425</v>
      </c>
      <c r="B18" s="468"/>
      <c r="C18" s="468"/>
      <c r="D18" s="468"/>
      <c r="E18" s="468"/>
      <c r="F18" s="468"/>
      <c r="G18" s="468"/>
      <c r="H18" s="468"/>
      <c r="I18" s="468"/>
      <c r="J18" s="468"/>
      <c r="K18" s="468"/>
      <c r="L18" s="468"/>
      <c r="M18" s="468"/>
      <c r="N18" s="387">
        <f t="shared" si="6"/>
        <v>0</v>
      </c>
      <c r="R18" s="395"/>
    </row>
    <row r="19" spans="1:18" ht="18">
      <c r="A19" s="387" t="s">
        <v>426</v>
      </c>
      <c r="B19" s="468"/>
      <c r="C19" s="468"/>
      <c r="D19" s="468"/>
      <c r="E19" s="468"/>
      <c r="F19" s="468"/>
      <c r="G19" s="468"/>
      <c r="H19" s="468"/>
      <c r="I19" s="468"/>
      <c r="J19" s="468"/>
      <c r="K19" s="468"/>
      <c r="L19" s="468"/>
      <c r="M19" s="468"/>
      <c r="N19" s="387">
        <f t="shared" si="6"/>
        <v>0</v>
      </c>
      <c r="R19" s="395"/>
    </row>
    <row r="20" spans="1:18" ht="18">
      <c r="A20" s="387" t="s">
        <v>427</v>
      </c>
      <c r="B20" s="468"/>
      <c r="C20" s="468"/>
      <c r="D20" s="468"/>
      <c r="E20" s="468"/>
      <c r="F20" s="468"/>
      <c r="G20" s="468"/>
      <c r="H20" s="468"/>
      <c r="I20" s="468"/>
      <c r="J20" s="468"/>
      <c r="K20" s="468"/>
      <c r="L20" s="468"/>
      <c r="M20" s="468"/>
      <c r="N20" s="387">
        <f t="shared" si="6"/>
        <v>0</v>
      </c>
      <c r="R20" s="395"/>
    </row>
    <row r="21" spans="1:18" ht="18">
      <c r="A21" s="387" t="s">
        <v>15</v>
      </c>
      <c r="B21" s="381">
        <f>SUM(B17:B20)-B18</f>
        <v>0</v>
      </c>
      <c r="C21" s="381">
        <f t="shared" ref="C21:M21" si="7">SUM(C17:C20)-C18</f>
        <v>0</v>
      </c>
      <c r="D21" s="381">
        <f t="shared" si="7"/>
        <v>0</v>
      </c>
      <c r="E21" s="381">
        <f t="shared" si="7"/>
        <v>0</v>
      </c>
      <c r="F21" s="381">
        <f t="shared" si="7"/>
        <v>0</v>
      </c>
      <c r="G21" s="381">
        <f t="shared" si="7"/>
        <v>0</v>
      </c>
      <c r="H21" s="381">
        <f t="shared" si="7"/>
        <v>0</v>
      </c>
      <c r="I21" s="381">
        <f t="shared" si="7"/>
        <v>0</v>
      </c>
      <c r="J21" s="381">
        <f t="shared" si="7"/>
        <v>0</v>
      </c>
      <c r="K21" s="381">
        <f t="shared" si="7"/>
        <v>0</v>
      </c>
      <c r="L21" s="381">
        <f t="shared" si="7"/>
        <v>0</v>
      </c>
      <c r="M21" s="381">
        <f t="shared" si="7"/>
        <v>0</v>
      </c>
      <c r="N21" s="387">
        <f>SUM(B21:M21)</f>
        <v>0</v>
      </c>
      <c r="R21" s="395"/>
    </row>
    <row r="22" spans="1:18" ht="15">
      <c r="N22" s="393"/>
    </row>
    <row r="23" spans="1:18" ht="15">
      <c r="A23" s="396" t="s">
        <v>220</v>
      </c>
      <c r="B23" s="397">
        <f t="shared" ref="B23:M23" si="8">IFERROR((B21*100)/(B14*B10)/100,0)</f>
        <v>0</v>
      </c>
      <c r="C23" s="397">
        <f t="shared" si="8"/>
        <v>0</v>
      </c>
      <c r="D23" s="397">
        <f t="shared" si="8"/>
        <v>0</v>
      </c>
      <c r="E23" s="397">
        <f t="shared" si="8"/>
        <v>0</v>
      </c>
      <c r="F23" s="397">
        <f t="shared" si="8"/>
        <v>0</v>
      </c>
      <c r="G23" s="397">
        <f t="shared" si="8"/>
        <v>0</v>
      </c>
      <c r="H23" s="397">
        <f t="shared" si="8"/>
        <v>0</v>
      </c>
      <c r="I23" s="397">
        <f t="shared" si="8"/>
        <v>0</v>
      </c>
      <c r="J23" s="397">
        <f t="shared" si="8"/>
        <v>0</v>
      </c>
      <c r="K23" s="397">
        <f t="shared" si="8"/>
        <v>0</v>
      </c>
      <c r="L23" s="397">
        <f t="shared" si="8"/>
        <v>0</v>
      </c>
      <c r="M23" s="397">
        <f t="shared" si="8"/>
        <v>0</v>
      </c>
      <c r="N23" s="397">
        <f>+IFERROR((N21*100)/(N14*N10)/100,0)</f>
        <v>0</v>
      </c>
    </row>
    <row r="24" spans="1:18" ht="14.25" customHeight="1">
      <c r="A24" s="396" t="s">
        <v>428</v>
      </c>
      <c r="B24" s="397">
        <v>4.8000000000000001E-2</v>
      </c>
      <c r="C24" s="397">
        <v>4.8000000000000001E-2</v>
      </c>
      <c r="D24" s="397">
        <v>4.8000000000000001E-2</v>
      </c>
      <c r="E24" s="397">
        <v>4.8000000000000001E-2</v>
      </c>
      <c r="F24" s="397">
        <v>4.8000000000000001E-2</v>
      </c>
      <c r="G24" s="397">
        <v>4.8000000000000001E-2</v>
      </c>
      <c r="H24" s="397">
        <v>4.8000000000000001E-2</v>
      </c>
      <c r="I24" s="397">
        <v>4.8000000000000001E-2</v>
      </c>
      <c r="J24" s="397">
        <v>4.8000000000000001E-2</v>
      </c>
      <c r="K24" s="397">
        <v>4.8000000000000001E-2</v>
      </c>
      <c r="L24" s="397">
        <v>4.8000000000000001E-2</v>
      </c>
      <c r="M24" s="397">
        <v>4.8000000000000001E-2</v>
      </c>
      <c r="N24" s="397">
        <v>4.8000000000000001E-2</v>
      </c>
    </row>
    <row r="25" spans="1:18" ht="14.25" customHeight="1">
      <c r="A25" s="396" t="s">
        <v>225</v>
      </c>
      <c r="B25" s="469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469"/>
      <c r="N25" s="398">
        <f>SUM(B25:M25)</f>
        <v>0</v>
      </c>
    </row>
    <row r="26" spans="1:18" ht="14.25" customHeight="1">
      <c r="A26" s="396" t="s">
        <v>224</v>
      </c>
      <c r="B26" s="469"/>
      <c r="C26" s="469"/>
      <c r="D26" s="469"/>
      <c r="E26" s="469"/>
      <c r="F26" s="469"/>
      <c r="G26" s="469"/>
      <c r="H26" s="469"/>
      <c r="I26" s="469"/>
      <c r="J26" s="469"/>
      <c r="K26" s="469"/>
      <c r="L26" s="469"/>
      <c r="M26" s="469"/>
      <c r="N26" s="398">
        <f>SUM(B26:M26)</f>
        <v>0</v>
      </c>
    </row>
    <row r="27" spans="1:18" ht="14.25" customHeight="1">
      <c r="A27" s="399"/>
      <c r="B27" s="400"/>
      <c r="C27" s="400"/>
      <c r="D27" s="400"/>
      <c r="E27" s="400"/>
      <c r="F27" s="400"/>
      <c r="G27" s="400"/>
      <c r="H27" s="400"/>
      <c r="I27" s="400"/>
      <c r="J27" s="400"/>
      <c r="K27" s="400"/>
      <c r="L27" s="400"/>
      <c r="M27" s="400"/>
      <c r="N27" s="401"/>
    </row>
    <row r="28" spans="1:18" ht="14.25" customHeight="1">
      <c r="A28" s="399"/>
      <c r="B28" s="400"/>
      <c r="C28" s="400"/>
      <c r="D28" s="400"/>
      <c r="E28" s="400"/>
      <c r="F28" s="400"/>
      <c r="G28" s="400"/>
      <c r="H28" s="400"/>
      <c r="I28" s="400"/>
      <c r="J28" s="400"/>
      <c r="K28" s="400"/>
      <c r="L28" s="400"/>
      <c r="M28" s="400"/>
      <c r="N28" s="401"/>
    </row>
    <row r="42" spans="8:8">
      <c r="H42" s="402"/>
    </row>
  </sheetData>
  <mergeCells count="2">
    <mergeCell ref="A1:A3"/>
    <mergeCell ref="B1:N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7D41C67-84A4-4656-9B21-0B2D2722CB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SOC_Abs!M10:M10</xm:f>
              <xm:sqref>M27</xm:sqref>
            </x14:sparkline>
            <x14:sparkline>
              <xm:f>SOC_Abs!M10:M10</xm:f>
              <xm:sqref>M28</xm:sqref>
            </x14:sparkline>
          </x14:sparklines>
        </x14:sparklineGroup>
        <x14:sparklineGroup displayEmptyCellsAs="gap" xr2:uid="{AE3C1CE8-B0E9-466F-8196-459B0CCCE3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SOC_Abs!L10:L10</xm:f>
              <xm:sqref>L27</xm:sqref>
            </x14:sparkline>
            <x14:sparkline>
              <xm:f>SOC_Abs!L10:L10</xm:f>
              <xm:sqref>L28</xm:sqref>
            </x14:sparkline>
          </x14:sparklines>
        </x14:sparklineGroup>
        <x14:sparklineGroup displayEmptyCellsAs="gap" xr2:uid="{DCB098F6-4132-4143-8FCD-0DCABD1BB0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SOC_Abs!K10:K10</xm:f>
              <xm:sqref>K27</xm:sqref>
            </x14:sparkline>
            <x14:sparkline>
              <xm:f>SOC_Abs!K10:K10</xm:f>
              <xm:sqref>K28</xm:sqref>
            </x14:sparkline>
          </x14:sparklines>
        </x14:sparklineGroup>
        <x14:sparklineGroup displayEmptyCellsAs="gap" xr2:uid="{2CA6132F-996E-4F60-BA37-7B6897F1B20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SOC_Abs!I10:I10</xm:f>
              <xm:sqref>I27</xm:sqref>
            </x14:sparkline>
            <x14:sparkline>
              <xm:f>SOC_Abs!I10:I10</xm:f>
              <xm:sqref>I28</xm:sqref>
            </x14:sparkline>
          </x14:sparklines>
        </x14:sparklineGroup>
        <x14:sparklineGroup displayEmptyCellsAs="gap" xr2:uid="{2E85A57E-1431-4031-BCC5-57FC615F4A7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SOC_Abs!H10:H10</xm:f>
              <xm:sqref>H27</xm:sqref>
            </x14:sparkline>
            <x14:sparkline>
              <xm:f>SOC_Abs!H10:H10</xm:f>
              <xm:sqref>H28</xm:sqref>
            </x14:sparkline>
          </x14:sparklines>
        </x14:sparklineGroup>
        <x14:sparklineGroup displayEmptyCellsAs="gap" xr2:uid="{2C586336-DB74-4C13-AE54-60138E82BD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SOC_Abs!G10:G10</xm:f>
              <xm:sqref>G27</xm:sqref>
            </x14:sparkline>
            <x14:sparkline>
              <xm:f>SOC_Abs!G10:G10</xm:f>
              <xm:sqref>G28</xm:sqref>
            </x14:sparkline>
          </x14:sparklines>
        </x14:sparklineGroup>
        <x14:sparklineGroup displayEmptyCellsAs="gap" xr2:uid="{EDFBB71C-8B52-4234-B1B0-A05212DA73E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SOC_Abs!F10:F10</xm:f>
              <xm:sqref>F27</xm:sqref>
            </x14:sparkline>
            <x14:sparkline>
              <xm:f>SOC_Abs!F10:F10</xm:f>
              <xm:sqref>F28</xm:sqref>
            </x14:sparkline>
          </x14:sparklines>
        </x14:sparklineGroup>
        <x14:sparklineGroup displayEmptyCellsAs="gap" xr2:uid="{CAB0F039-88E3-427F-A1EA-1411D5F11E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SOC_Abs!E10:E10</xm:f>
              <xm:sqref>E27</xm:sqref>
            </x14:sparkline>
            <x14:sparkline>
              <xm:f>SOC_Abs!E10:E10</xm:f>
              <xm:sqref>E28</xm:sqref>
            </x14:sparkline>
          </x14:sparklines>
        </x14:sparklineGroup>
        <x14:sparklineGroup displayEmptyCellsAs="gap" xr2:uid="{278656B4-9302-46EE-B84A-6A768EF36F8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SOC_Abs!D10:D10</xm:f>
              <xm:sqref>D27</xm:sqref>
            </x14:sparkline>
            <x14:sparkline>
              <xm:f>SOC_Abs!D10:D10</xm:f>
              <xm:sqref>D28</xm:sqref>
            </x14:sparkline>
          </x14:sparklines>
        </x14:sparklineGroup>
        <x14:sparklineGroup displayEmptyCellsAs="gap" xr2:uid="{6F0DC495-E0B5-4472-AEFD-7A29D6F287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SOC_Abs!C10:C10</xm:f>
              <xm:sqref>C27</xm:sqref>
            </x14:sparkline>
            <x14:sparkline>
              <xm:f>SOC_Abs!C10:C10</xm:f>
              <xm:sqref>C28</xm:sqref>
            </x14:sparkline>
          </x14:sparklines>
        </x14:sparklineGroup>
        <x14:sparklineGroup displayEmptyCellsAs="gap" xr2:uid="{FD2FDF61-151B-452E-9F54-E7F6CC30F48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SOC_Abs!B6:B6</xm:f>
              <xm:sqref>B23</xm:sqref>
            </x14:sparkline>
            <x14:sparkline>
              <xm:f>SOC_Abs!B9:B9</xm:f>
              <xm:sqref>B24</xm:sqref>
            </x14:sparkline>
            <x14:sparkline>
              <xm:f>SOC_Abs!B10:B10</xm:f>
              <xm:sqref>B27</xm:sqref>
            </x14:sparkline>
            <x14:sparkline>
              <xm:f>SOC_Abs!B10:B10</xm:f>
              <xm:sqref>B28</xm:sqref>
            </x14:sparkline>
            <x14:sparkline>
              <xm:f>SOC_Abs!N10:N10</xm:f>
              <xm:sqref>N27</xm:sqref>
            </x14:sparkline>
            <x14:sparkline>
              <xm:f>SOC_Abs!N10:N10</xm:f>
              <xm:sqref>N28</xm:sqref>
            </x14:sparkline>
            <x14:sparkline>
              <xm:f>SOC_Abs!C6:C6</xm:f>
              <xm:sqref>C23</xm:sqref>
            </x14:sparkline>
            <x14:sparkline>
              <xm:f>SOC_Abs!D6:D6</xm:f>
              <xm:sqref>D23</xm:sqref>
            </x14:sparkline>
            <x14:sparkline>
              <xm:f>SOC_Abs!E6:E6</xm:f>
              <xm:sqref>E23</xm:sqref>
            </x14:sparkline>
            <x14:sparkline>
              <xm:f>SOC_Abs!F6:F6</xm:f>
              <xm:sqref>F23</xm:sqref>
            </x14:sparkline>
            <x14:sparkline>
              <xm:f>SOC_Abs!G6:G6</xm:f>
              <xm:sqref>G23</xm:sqref>
            </x14:sparkline>
            <x14:sparkline>
              <xm:f>SOC_Abs!H6:H6</xm:f>
              <xm:sqref>H23</xm:sqref>
            </x14:sparkline>
            <x14:sparkline>
              <xm:f>SOC_Abs!I6:I6</xm:f>
              <xm:sqref>I23</xm:sqref>
            </x14:sparkline>
            <x14:sparkline>
              <xm:f>SOC_Abs!J6:J6</xm:f>
              <xm:sqref>J23</xm:sqref>
            </x14:sparkline>
            <x14:sparkline>
              <xm:f>SOC_Abs!K6:K6</xm:f>
              <xm:sqref>K23</xm:sqref>
            </x14:sparkline>
            <x14:sparkline>
              <xm:f>SOC_Abs!L6:L6</xm:f>
              <xm:sqref>L23</xm:sqref>
            </x14:sparkline>
            <x14:sparkline>
              <xm:f>SOC_Abs!M6:M6</xm:f>
              <xm:sqref>M23</xm:sqref>
            </x14:sparkline>
            <x14:sparkline>
              <xm:f>SOC_Abs!N6:N6</xm:f>
              <xm:sqref>N23</xm:sqref>
            </x14:sparkline>
            <x14:sparkline>
              <xm:f>SOC_Abs!J10:J10</xm:f>
              <xm:sqref>J27</xm:sqref>
            </x14:sparkline>
            <x14:sparkline>
              <xm:f>SOC_Abs!J10:J10</xm:f>
              <xm:sqref>J28</xm:sqref>
            </x14:sparkline>
            <x14:sparkline>
              <xm:f>SOC_Abs!C9:C9</xm:f>
              <xm:sqref>C24</xm:sqref>
            </x14:sparkline>
            <x14:sparkline>
              <xm:f>SOC_Abs!D9:D9</xm:f>
              <xm:sqref>D24</xm:sqref>
            </x14:sparkline>
            <x14:sparkline>
              <xm:f>SOC_Abs!E9:E9</xm:f>
              <xm:sqref>E24</xm:sqref>
            </x14:sparkline>
            <x14:sparkline>
              <xm:f>SOC_Abs!F9:F9</xm:f>
              <xm:sqref>F24</xm:sqref>
            </x14:sparkline>
            <x14:sparkline>
              <xm:f>SOC_Abs!G9:G9</xm:f>
              <xm:sqref>G24</xm:sqref>
            </x14:sparkline>
            <x14:sparkline>
              <xm:f>SOC_Abs!H9:H9</xm:f>
              <xm:sqref>H24</xm:sqref>
            </x14:sparkline>
            <x14:sparkline>
              <xm:f>SOC_Abs!I9:I9</xm:f>
              <xm:sqref>I24</xm:sqref>
            </x14:sparkline>
            <x14:sparkline>
              <xm:f>SOC_Abs!J9:J9</xm:f>
              <xm:sqref>J24</xm:sqref>
            </x14:sparkline>
            <x14:sparkline>
              <xm:f>SOC_Abs!K9:K9</xm:f>
              <xm:sqref>K24</xm:sqref>
            </x14:sparkline>
            <x14:sparkline>
              <xm:f>SOC_Abs!L9:L9</xm:f>
              <xm:sqref>L24</xm:sqref>
            </x14:sparkline>
            <x14:sparkline>
              <xm:f>SOC_Abs!M9:M9</xm:f>
              <xm:sqref>M24</xm:sqref>
            </x14:sparkline>
            <x14:sparkline>
              <xm:f>SOC_Abs!N9:N9</xm:f>
              <xm:sqref>N24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4A5A-351E-4554-9F04-7AB9EA1EFAF2}">
  <sheetPr>
    <tabColor theme="8" tint="0.59999389629810485"/>
    <pageSetUpPr fitToPage="1"/>
  </sheetPr>
  <dimension ref="A1:T56"/>
  <sheetViews>
    <sheetView showGridLines="0" tabSelected="1" zoomScale="85" zoomScaleNormal="85" workbookViewId="0">
      <pane ySplit="6" topLeftCell="A7" activePane="bottomLeft" state="frozen"/>
      <selection pane="bottomLeft" activeCell="B30" sqref="B30"/>
      <selection activeCell="N33" sqref="N33"/>
    </sheetView>
  </sheetViews>
  <sheetFormatPr defaultColWidth="11.42578125" defaultRowHeight="15" outlineLevelCol="1"/>
  <cols>
    <col min="1" max="1" width="10.28515625" customWidth="1"/>
    <col min="2" max="2" width="42.5703125" customWidth="1"/>
    <col min="3" max="3" width="10" customWidth="1"/>
    <col min="4" max="4" width="18.28515625" bestFit="1" customWidth="1"/>
    <col min="5" max="5" width="16.140625" customWidth="1"/>
    <col min="6" max="6" width="25.28515625" customWidth="1"/>
    <col min="7" max="8" width="13.7109375" customWidth="1"/>
    <col min="9" max="9" width="12.140625" customWidth="1"/>
    <col min="10" max="10" width="9.7109375" customWidth="1"/>
    <col min="11" max="11" width="12.140625" customWidth="1" outlineLevel="1"/>
    <col min="12" max="13" width="12.140625" customWidth="1"/>
    <col min="14" max="14" width="12.140625" hidden="1" customWidth="1"/>
    <col min="15" max="20" width="12.140625" customWidth="1"/>
    <col min="257" max="257" width="18.140625" customWidth="1"/>
    <col min="258" max="258" width="46.140625" customWidth="1"/>
    <col min="259" max="259" width="10" customWidth="1"/>
    <col min="260" max="260" width="12.42578125" customWidth="1"/>
    <col min="261" max="261" width="16.140625" customWidth="1"/>
    <col min="262" max="262" width="25.28515625" customWidth="1"/>
    <col min="263" max="264" width="13.7109375" customWidth="1"/>
    <col min="265" max="265" width="12.140625" customWidth="1"/>
    <col min="266" max="266" width="9.7109375" customWidth="1"/>
    <col min="267" max="269" width="12.140625" customWidth="1"/>
    <col min="270" max="270" width="0" hidden="1" customWidth="1"/>
    <col min="271" max="276" width="12.140625" customWidth="1"/>
    <col min="513" max="513" width="18.140625" customWidth="1"/>
    <col min="514" max="514" width="46.140625" customWidth="1"/>
    <col min="515" max="515" width="10" customWidth="1"/>
    <col min="516" max="516" width="12.42578125" customWidth="1"/>
    <col min="517" max="517" width="16.140625" customWidth="1"/>
    <col min="518" max="518" width="25.28515625" customWidth="1"/>
    <col min="519" max="520" width="13.7109375" customWidth="1"/>
    <col min="521" max="521" width="12.140625" customWidth="1"/>
    <col min="522" max="522" width="9.7109375" customWidth="1"/>
    <col min="523" max="525" width="12.140625" customWidth="1"/>
    <col min="526" max="526" width="0" hidden="1" customWidth="1"/>
    <col min="527" max="532" width="12.140625" customWidth="1"/>
    <col min="769" max="769" width="18.140625" customWidth="1"/>
    <col min="770" max="770" width="46.140625" customWidth="1"/>
    <col min="771" max="771" width="10" customWidth="1"/>
    <col min="772" max="772" width="12.42578125" customWidth="1"/>
    <col min="773" max="773" width="16.140625" customWidth="1"/>
    <col min="774" max="774" width="25.28515625" customWidth="1"/>
    <col min="775" max="776" width="13.7109375" customWidth="1"/>
    <col min="777" max="777" width="12.140625" customWidth="1"/>
    <col min="778" max="778" width="9.7109375" customWidth="1"/>
    <col min="779" max="781" width="12.140625" customWidth="1"/>
    <col min="782" max="782" width="0" hidden="1" customWidth="1"/>
    <col min="783" max="788" width="12.140625" customWidth="1"/>
    <col min="1025" max="1025" width="18.140625" customWidth="1"/>
    <col min="1026" max="1026" width="46.140625" customWidth="1"/>
    <col min="1027" max="1027" width="10" customWidth="1"/>
    <col min="1028" max="1028" width="12.42578125" customWidth="1"/>
    <col min="1029" max="1029" width="16.140625" customWidth="1"/>
    <col min="1030" max="1030" width="25.28515625" customWidth="1"/>
    <col min="1031" max="1032" width="13.7109375" customWidth="1"/>
    <col min="1033" max="1033" width="12.140625" customWidth="1"/>
    <col min="1034" max="1034" width="9.7109375" customWidth="1"/>
    <col min="1035" max="1037" width="12.140625" customWidth="1"/>
    <col min="1038" max="1038" width="0" hidden="1" customWidth="1"/>
    <col min="1039" max="1044" width="12.140625" customWidth="1"/>
    <col min="1281" max="1281" width="18.140625" customWidth="1"/>
    <col min="1282" max="1282" width="46.140625" customWidth="1"/>
    <col min="1283" max="1283" width="10" customWidth="1"/>
    <col min="1284" max="1284" width="12.42578125" customWidth="1"/>
    <col min="1285" max="1285" width="16.140625" customWidth="1"/>
    <col min="1286" max="1286" width="25.28515625" customWidth="1"/>
    <col min="1287" max="1288" width="13.7109375" customWidth="1"/>
    <col min="1289" max="1289" width="12.140625" customWidth="1"/>
    <col min="1290" max="1290" width="9.7109375" customWidth="1"/>
    <col min="1291" max="1293" width="12.140625" customWidth="1"/>
    <col min="1294" max="1294" width="0" hidden="1" customWidth="1"/>
    <col min="1295" max="1300" width="12.140625" customWidth="1"/>
    <col min="1537" max="1537" width="18.140625" customWidth="1"/>
    <col min="1538" max="1538" width="46.140625" customWidth="1"/>
    <col min="1539" max="1539" width="10" customWidth="1"/>
    <col min="1540" max="1540" width="12.42578125" customWidth="1"/>
    <col min="1541" max="1541" width="16.140625" customWidth="1"/>
    <col min="1542" max="1542" width="25.28515625" customWidth="1"/>
    <col min="1543" max="1544" width="13.7109375" customWidth="1"/>
    <col min="1545" max="1545" width="12.140625" customWidth="1"/>
    <col min="1546" max="1546" width="9.7109375" customWidth="1"/>
    <col min="1547" max="1549" width="12.140625" customWidth="1"/>
    <col min="1550" max="1550" width="0" hidden="1" customWidth="1"/>
    <col min="1551" max="1556" width="12.140625" customWidth="1"/>
    <col min="1793" max="1793" width="18.140625" customWidth="1"/>
    <col min="1794" max="1794" width="46.140625" customWidth="1"/>
    <col min="1795" max="1795" width="10" customWidth="1"/>
    <col min="1796" max="1796" width="12.42578125" customWidth="1"/>
    <col min="1797" max="1797" width="16.140625" customWidth="1"/>
    <col min="1798" max="1798" width="25.28515625" customWidth="1"/>
    <col min="1799" max="1800" width="13.7109375" customWidth="1"/>
    <col min="1801" max="1801" width="12.140625" customWidth="1"/>
    <col min="1802" max="1802" width="9.7109375" customWidth="1"/>
    <col min="1803" max="1805" width="12.140625" customWidth="1"/>
    <col min="1806" max="1806" width="0" hidden="1" customWidth="1"/>
    <col min="1807" max="1812" width="12.140625" customWidth="1"/>
    <col min="2049" max="2049" width="18.140625" customWidth="1"/>
    <col min="2050" max="2050" width="46.140625" customWidth="1"/>
    <col min="2051" max="2051" width="10" customWidth="1"/>
    <col min="2052" max="2052" width="12.42578125" customWidth="1"/>
    <col min="2053" max="2053" width="16.140625" customWidth="1"/>
    <col min="2054" max="2054" width="25.28515625" customWidth="1"/>
    <col min="2055" max="2056" width="13.7109375" customWidth="1"/>
    <col min="2057" max="2057" width="12.140625" customWidth="1"/>
    <col min="2058" max="2058" width="9.7109375" customWidth="1"/>
    <col min="2059" max="2061" width="12.140625" customWidth="1"/>
    <col min="2062" max="2062" width="0" hidden="1" customWidth="1"/>
    <col min="2063" max="2068" width="12.140625" customWidth="1"/>
    <col min="2305" max="2305" width="18.140625" customWidth="1"/>
    <col min="2306" max="2306" width="46.140625" customWidth="1"/>
    <col min="2307" max="2307" width="10" customWidth="1"/>
    <col min="2308" max="2308" width="12.42578125" customWidth="1"/>
    <col min="2309" max="2309" width="16.140625" customWidth="1"/>
    <col min="2310" max="2310" width="25.28515625" customWidth="1"/>
    <col min="2311" max="2312" width="13.7109375" customWidth="1"/>
    <col min="2313" max="2313" width="12.140625" customWidth="1"/>
    <col min="2314" max="2314" width="9.7109375" customWidth="1"/>
    <col min="2315" max="2317" width="12.140625" customWidth="1"/>
    <col min="2318" max="2318" width="0" hidden="1" customWidth="1"/>
    <col min="2319" max="2324" width="12.140625" customWidth="1"/>
    <col min="2561" max="2561" width="18.140625" customWidth="1"/>
    <col min="2562" max="2562" width="46.140625" customWidth="1"/>
    <col min="2563" max="2563" width="10" customWidth="1"/>
    <col min="2564" max="2564" width="12.42578125" customWidth="1"/>
    <col min="2565" max="2565" width="16.140625" customWidth="1"/>
    <col min="2566" max="2566" width="25.28515625" customWidth="1"/>
    <col min="2567" max="2568" width="13.7109375" customWidth="1"/>
    <col min="2569" max="2569" width="12.140625" customWidth="1"/>
    <col min="2570" max="2570" width="9.7109375" customWidth="1"/>
    <col min="2571" max="2573" width="12.140625" customWidth="1"/>
    <col min="2574" max="2574" width="0" hidden="1" customWidth="1"/>
    <col min="2575" max="2580" width="12.140625" customWidth="1"/>
    <col min="2817" max="2817" width="18.140625" customWidth="1"/>
    <col min="2818" max="2818" width="46.140625" customWidth="1"/>
    <col min="2819" max="2819" width="10" customWidth="1"/>
    <col min="2820" max="2820" width="12.42578125" customWidth="1"/>
    <col min="2821" max="2821" width="16.140625" customWidth="1"/>
    <col min="2822" max="2822" width="25.28515625" customWidth="1"/>
    <col min="2823" max="2824" width="13.7109375" customWidth="1"/>
    <col min="2825" max="2825" width="12.140625" customWidth="1"/>
    <col min="2826" max="2826" width="9.7109375" customWidth="1"/>
    <col min="2827" max="2829" width="12.140625" customWidth="1"/>
    <col min="2830" max="2830" width="0" hidden="1" customWidth="1"/>
    <col min="2831" max="2836" width="12.140625" customWidth="1"/>
    <col min="3073" max="3073" width="18.140625" customWidth="1"/>
    <col min="3074" max="3074" width="46.140625" customWidth="1"/>
    <col min="3075" max="3075" width="10" customWidth="1"/>
    <col min="3076" max="3076" width="12.42578125" customWidth="1"/>
    <col min="3077" max="3077" width="16.140625" customWidth="1"/>
    <col min="3078" max="3078" width="25.28515625" customWidth="1"/>
    <col min="3079" max="3080" width="13.7109375" customWidth="1"/>
    <col min="3081" max="3081" width="12.140625" customWidth="1"/>
    <col min="3082" max="3082" width="9.7109375" customWidth="1"/>
    <col min="3083" max="3085" width="12.140625" customWidth="1"/>
    <col min="3086" max="3086" width="0" hidden="1" customWidth="1"/>
    <col min="3087" max="3092" width="12.140625" customWidth="1"/>
    <col min="3329" max="3329" width="18.140625" customWidth="1"/>
    <col min="3330" max="3330" width="46.140625" customWidth="1"/>
    <col min="3331" max="3331" width="10" customWidth="1"/>
    <col min="3332" max="3332" width="12.42578125" customWidth="1"/>
    <col min="3333" max="3333" width="16.140625" customWidth="1"/>
    <col min="3334" max="3334" width="25.28515625" customWidth="1"/>
    <col min="3335" max="3336" width="13.7109375" customWidth="1"/>
    <col min="3337" max="3337" width="12.140625" customWidth="1"/>
    <col min="3338" max="3338" width="9.7109375" customWidth="1"/>
    <col min="3339" max="3341" width="12.140625" customWidth="1"/>
    <col min="3342" max="3342" width="0" hidden="1" customWidth="1"/>
    <col min="3343" max="3348" width="12.140625" customWidth="1"/>
    <col min="3585" max="3585" width="18.140625" customWidth="1"/>
    <col min="3586" max="3586" width="46.140625" customWidth="1"/>
    <col min="3587" max="3587" width="10" customWidth="1"/>
    <col min="3588" max="3588" width="12.42578125" customWidth="1"/>
    <col min="3589" max="3589" width="16.140625" customWidth="1"/>
    <col min="3590" max="3590" width="25.28515625" customWidth="1"/>
    <col min="3591" max="3592" width="13.7109375" customWidth="1"/>
    <col min="3593" max="3593" width="12.140625" customWidth="1"/>
    <col min="3594" max="3594" width="9.7109375" customWidth="1"/>
    <col min="3595" max="3597" width="12.140625" customWidth="1"/>
    <col min="3598" max="3598" width="0" hidden="1" customWidth="1"/>
    <col min="3599" max="3604" width="12.140625" customWidth="1"/>
    <col min="3841" max="3841" width="18.140625" customWidth="1"/>
    <col min="3842" max="3842" width="46.140625" customWidth="1"/>
    <col min="3843" max="3843" width="10" customWidth="1"/>
    <col min="3844" max="3844" width="12.42578125" customWidth="1"/>
    <col min="3845" max="3845" width="16.140625" customWidth="1"/>
    <col min="3846" max="3846" width="25.28515625" customWidth="1"/>
    <col min="3847" max="3848" width="13.7109375" customWidth="1"/>
    <col min="3849" max="3849" width="12.140625" customWidth="1"/>
    <col min="3850" max="3850" width="9.7109375" customWidth="1"/>
    <col min="3851" max="3853" width="12.140625" customWidth="1"/>
    <col min="3854" max="3854" width="0" hidden="1" customWidth="1"/>
    <col min="3855" max="3860" width="12.140625" customWidth="1"/>
    <col min="4097" max="4097" width="18.140625" customWidth="1"/>
    <col min="4098" max="4098" width="46.140625" customWidth="1"/>
    <col min="4099" max="4099" width="10" customWidth="1"/>
    <col min="4100" max="4100" width="12.42578125" customWidth="1"/>
    <col min="4101" max="4101" width="16.140625" customWidth="1"/>
    <col min="4102" max="4102" width="25.28515625" customWidth="1"/>
    <col min="4103" max="4104" width="13.7109375" customWidth="1"/>
    <col min="4105" max="4105" width="12.140625" customWidth="1"/>
    <col min="4106" max="4106" width="9.7109375" customWidth="1"/>
    <col min="4107" max="4109" width="12.140625" customWidth="1"/>
    <col min="4110" max="4110" width="0" hidden="1" customWidth="1"/>
    <col min="4111" max="4116" width="12.140625" customWidth="1"/>
    <col min="4353" max="4353" width="18.140625" customWidth="1"/>
    <col min="4354" max="4354" width="46.140625" customWidth="1"/>
    <col min="4355" max="4355" width="10" customWidth="1"/>
    <col min="4356" max="4356" width="12.42578125" customWidth="1"/>
    <col min="4357" max="4357" width="16.140625" customWidth="1"/>
    <col min="4358" max="4358" width="25.28515625" customWidth="1"/>
    <col min="4359" max="4360" width="13.7109375" customWidth="1"/>
    <col min="4361" max="4361" width="12.140625" customWidth="1"/>
    <col min="4362" max="4362" width="9.7109375" customWidth="1"/>
    <col min="4363" max="4365" width="12.140625" customWidth="1"/>
    <col min="4366" max="4366" width="0" hidden="1" customWidth="1"/>
    <col min="4367" max="4372" width="12.140625" customWidth="1"/>
    <col min="4609" max="4609" width="18.140625" customWidth="1"/>
    <col min="4610" max="4610" width="46.140625" customWidth="1"/>
    <col min="4611" max="4611" width="10" customWidth="1"/>
    <col min="4612" max="4612" width="12.42578125" customWidth="1"/>
    <col min="4613" max="4613" width="16.140625" customWidth="1"/>
    <col min="4614" max="4614" width="25.28515625" customWidth="1"/>
    <col min="4615" max="4616" width="13.7109375" customWidth="1"/>
    <col min="4617" max="4617" width="12.140625" customWidth="1"/>
    <col min="4618" max="4618" width="9.7109375" customWidth="1"/>
    <col min="4619" max="4621" width="12.140625" customWidth="1"/>
    <col min="4622" max="4622" width="0" hidden="1" customWidth="1"/>
    <col min="4623" max="4628" width="12.140625" customWidth="1"/>
    <col min="4865" max="4865" width="18.140625" customWidth="1"/>
    <col min="4866" max="4866" width="46.140625" customWidth="1"/>
    <col min="4867" max="4867" width="10" customWidth="1"/>
    <col min="4868" max="4868" width="12.42578125" customWidth="1"/>
    <col min="4869" max="4869" width="16.140625" customWidth="1"/>
    <col min="4870" max="4870" width="25.28515625" customWidth="1"/>
    <col min="4871" max="4872" width="13.7109375" customWidth="1"/>
    <col min="4873" max="4873" width="12.140625" customWidth="1"/>
    <col min="4874" max="4874" width="9.7109375" customWidth="1"/>
    <col min="4875" max="4877" width="12.140625" customWidth="1"/>
    <col min="4878" max="4878" width="0" hidden="1" customWidth="1"/>
    <col min="4879" max="4884" width="12.140625" customWidth="1"/>
    <col min="5121" max="5121" width="18.140625" customWidth="1"/>
    <col min="5122" max="5122" width="46.140625" customWidth="1"/>
    <col min="5123" max="5123" width="10" customWidth="1"/>
    <col min="5124" max="5124" width="12.42578125" customWidth="1"/>
    <col min="5125" max="5125" width="16.140625" customWidth="1"/>
    <col min="5126" max="5126" width="25.28515625" customWidth="1"/>
    <col min="5127" max="5128" width="13.7109375" customWidth="1"/>
    <col min="5129" max="5129" width="12.140625" customWidth="1"/>
    <col min="5130" max="5130" width="9.7109375" customWidth="1"/>
    <col min="5131" max="5133" width="12.140625" customWidth="1"/>
    <col min="5134" max="5134" width="0" hidden="1" customWidth="1"/>
    <col min="5135" max="5140" width="12.140625" customWidth="1"/>
    <col min="5377" max="5377" width="18.140625" customWidth="1"/>
    <col min="5378" max="5378" width="46.140625" customWidth="1"/>
    <col min="5379" max="5379" width="10" customWidth="1"/>
    <col min="5380" max="5380" width="12.42578125" customWidth="1"/>
    <col min="5381" max="5381" width="16.140625" customWidth="1"/>
    <col min="5382" max="5382" width="25.28515625" customWidth="1"/>
    <col min="5383" max="5384" width="13.7109375" customWidth="1"/>
    <col min="5385" max="5385" width="12.140625" customWidth="1"/>
    <col min="5386" max="5386" width="9.7109375" customWidth="1"/>
    <col min="5387" max="5389" width="12.140625" customWidth="1"/>
    <col min="5390" max="5390" width="0" hidden="1" customWidth="1"/>
    <col min="5391" max="5396" width="12.140625" customWidth="1"/>
    <col min="5633" max="5633" width="18.140625" customWidth="1"/>
    <col min="5634" max="5634" width="46.140625" customWidth="1"/>
    <col min="5635" max="5635" width="10" customWidth="1"/>
    <col min="5636" max="5636" width="12.42578125" customWidth="1"/>
    <col min="5637" max="5637" width="16.140625" customWidth="1"/>
    <col min="5638" max="5638" width="25.28515625" customWidth="1"/>
    <col min="5639" max="5640" width="13.7109375" customWidth="1"/>
    <col min="5641" max="5641" width="12.140625" customWidth="1"/>
    <col min="5642" max="5642" width="9.7109375" customWidth="1"/>
    <col min="5643" max="5645" width="12.140625" customWidth="1"/>
    <col min="5646" max="5646" width="0" hidden="1" customWidth="1"/>
    <col min="5647" max="5652" width="12.140625" customWidth="1"/>
    <col min="5889" max="5889" width="18.140625" customWidth="1"/>
    <col min="5890" max="5890" width="46.140625" customWidth="1"/>
    <col min="5891" max="5891" width="10" customWidth="1"/>
    <col min="5892" max="5892" width="12.42578125" customWidth="1"/>
    <col min="5893" max="5893" width="16.140625" customWidth="1"/>
    <col min="5894" max="5894" width="25.28515625" customWidth="1"/>
    <col min="5895" max="5896" width="13.7109375" customWidth="1"/>
    <col min="5897" max="5897" width="12.140625" customWidth="1"/>
    <col min="5898" max="5898" width="9.7109375" customWidth="1"/>
    <col min="5899" max="5901" width="12.140625" customWidth="1"/>
    <col min="5902" max="5902" width="0" hidden="1" customWidth="1"/>
    <col min="5903" max="5908" width="12.140625" customWidth="1"/>
    <col min="6145" max="6145" width="18.140625" customWidth="1"/>
    <col min="6146" max="6146" width="46.140625" customWidth="1"/>
    <col min="6147" max="6147" width="10" customWidth="1"/>
    <col min="6148" max="6148" width="12.42578125" customWidth="1"/>
    <col min="6149" max="6149" width="16.140625" customWidth="1"/>
    <col min="6150" max="6150" width="25.28515625" customWidth="1"/>
    <col min="6151" max="6152" width="13.7109375" customWidth="1"/>
    <col min="6153" max="6153" width="12.140625" customWidth="1"/>
    <col min="6154" max="6154" width="9.7109375" customWidth="1"/>
    <col min="6155" max="6157" width="12.140625" customWidth="1"/>
    <col min="6158" max="6158" width="0" hidden="1" customWidth="1"/>
    <col min="6159" max="6164" width="12.140625" customWidth="1"/>
    <col min="6401" max="6401" width="18.140625" customWidth="1"/>
    <col min="6402" max="6402" width="46.140625" customWidth="1"/>
    <col min="6403" max="6403" width="10" customWidth="1"/>
    <col min="6404" max="6404" width="12.42578125" customWidth="1"/>
    <col min="6405" max="6405" width="16.140625" customWidth="1"/>
    <col min="6406" max="6406" width="25.28515625" customWidth="1"/>
    <col min="6407" max="6408" width="13.7109375" customWidth="1"/>
    <col min="6409" max="6409" width="12.140625" customWidth="1"/>
    <col min="6410" max="6410" width="9.7109375" customWidth="1"/>
    <col min="6411" max="6413" width="12.140625" customWidth="1"/>
    <col min="6414" max="6414" width="0" hidden="1" customWidth="1"/>
    <col min="6415" max="6420" width="12.140625" customWidth="1"/>
    <col min="6657" max="6657" width="18.140625" customWidth="1"/>
    <col min="6658" max="6658" width="46.140625" customWidth="1"/>
    <col min="6659" max="6659" width="10" customWidth="1"/>
    <col min="6660" max="6660" width="12.42578125" customWidth="1"/>
    <col min="6661" max="6661" width="16.140625" customWidth="1"/>
    <col min="6662" max="6662" width="25.28515625" customWidth="1"/>
    <col min="6663" max="6664" width="13.7109375" customWidth="1"/>
    <col min="6665" max="6665" width="12.140625" customWidth="1"/>
    <col min="6666" max="6666" width="9.7109375" customWidth="1"/>
    <col min="6667" max="6669" width="12.140625" customWidth="1"/>
    <col min="6670" max="6670" width="0" hidden="1" customWidth="1"/>
    <col min="6671" max="6676" width="12.140625" customWidth="1"/>
    <col min="6913" max="6913" width="18.140625" customWidth="1"/>
    <col min="6914" max="6914" width="46.140625" customWidth="1"/>
    <col min="6915" max="6915" width="10" customWidth="1"/>
    <col min="6916" max="6916" width="12.42578125" customWidth="1"/>
    <col min="6917" max="6917" width="16.140625" customWidth="1"/>
    <col min="6918" max="6918" width="25.28515625" customWidth="1"/>
    <col min="6919" max="6920" width="13.7109375" customWidth="1"/>
    <col min="6921" max="6921" width="12.140625" customWidth="1"/>
    <col min="6922" max="6922" width="9.7109375" customWidth="1"/>
    <col min="6923" max="6925" width="12.140625" customWidth="1"/>
    <col min="6926" max="6926" width="0" hidden="1" customWidth="1"/>
    <col min="6927" max="6932" width="12.140625" customWidth="1"/>
    <col min="7169" max="7169" width="18.140625" customWidth="1"/>
    <col min="7170" max="7170" width="46.140625" customWidth="1"/>
    <col min="7171" max="7171" width="10" customWidth="1"/>
    <col min="7172" max="7172" width="12.42578125" customWidth="1"/>
    <col min="7173" max="7173" width="16.140625" customWidth="1"/>
    <col min="7174" max="7174" width="25.28515625" customWidth="1"/>
    <col min="7175" max="7176" width="13.7109375" customWidth="1"/>
    <col min="7177" max="7177" width="12.140625" customWidth="1"/>
    <col min="7178" max="7178" width="9.7109375" customWidth="1"/>
    <col min="7179" max="7181" width="12.140625" customWidth="1"/>
    <col min="7182" max="7182" width="0" hidden="1" customWidth="1"/>
    <col min="7183" max="7188" width="12.140625" customWidth="1"/>
    <col min="7425" max="7425" width="18.140625" customWidth="1"/>
    <col min="7426" max="7426" width="46.140625" customWidth="1"/>
    <col min="7427" max="7427" width="10" customWidth="1"/>
    <col min="7428" max="7428" width="12.42578125" customWidth="1"/>
    <col min="7429" max="7429" width="16.140625" customWidth="1"/>
    <col min="7430" max="7430" width="25.28515625" customWidth="1"/>
    <col min="7431" max="7432" width="13.7109375" customWidth="1"/>
    <col min="7433" max="7433" width="12.140625" customWidth="1"/>
    <col min="7434" max="7434" width="9.7109375" customWidth="1"/>
    <col min="7435" max="7437" width="12.140625" customWidth="1"/>
    <col min="7438" max="7438" width="0" hidden="1" customWidth="1"/>
    <col min="7439" max="7444" width="12.140625" customWidth="1"/>
    <col min="7681" max="7681" width="18.140625" customWidth="1"/>
    <col min="7682" max="7682" width="46.140625" customWidth="1"/>
    <col min="7683" max="7683" width="10" customWidth="1"/>
    <col min="7684" max="7684" width="12.42578125" customWidth="1"/>
    <col min="7685" max="7685" width="16.140625" customWidth="1"/>
    <col min="7686" max="7686" width="25.28515625" customWidth="1"/>
    <col min="7687" max="7688" width="13.7109375" customWidth="1"/>
    <col min="7689" max="7689" width="12.140625" customWidth="1"/>
    <col min="7690" max="7690" width="9.7109375" customWidth="1"/>
    <col min="7691" max="7693" width="12.140625" customWidth="1"/>
    <col min="7694" max="7694" width="0" hidden="1" customWidth="1"/>
    <col min="7695" max="7700" width="12.140625" customWidth="1"/>
    <col min="7937" max="7937" width="18.140625" customWidth="1"/>
    <col min="7938" max="7938" width="46.140625" customWidth="1"/>
    <col min="7939" max="7939" width="10" customWidth="1"/>
    <col min="7940" max="7940" width="12.42578125" customWidth="1"/>
    <col min="7941" max="7941" width="16.140625" customWidth="1"/>
    <col min="7942" max="7942" width="25.28515625" customWidth="1"/>
    <col min="7943" max="7944" width="13.7109375" customWidth="1"/>
    <col min="7945" max="7945" width="12.140625" customWidth="1"/>
    <col min="7946" max="7946" width="9.7109375" customWidth="1"/>
    <col min="7947" max="7949" width="12.140625" customWidth="1"/>
    <col min="7950" max="7950" width="0" hidden="1" customWidth="1"/>
    <col min="7951" max="7956" width="12.140625" customWidth="1"/>
    <col min="8193" max="8193" width="18.140625" customWidth="1"/>
    <col min="8194" max="8194" width="46.140625" customWidth="1"/>
    <col min="8195" max="8195" width="10" customWidth="1"/>
    <col min="8196" max="8196" width="12.42578125" customWidth="1"/>
    <col min="8197" max="8197" width="16.140625" customWidth="1"/>
    <col min="8198" max="8198" width="25.28515625" customWidth="1"/>
    <col min="8199" max="8200" width="13.7109375" customWidth="1"/>
    <col min="8201" max="8201" width="12.140625" customWidth="1"/>
    <col min="8202" max="8202" width="9.7109375" customWidth="1"/>
    <col min="8203" max="8205" width="12.140625" customWidth="1"/>
    <col min="8206" max="8206" width="0" hidden="1" customWidth="1"/>
    <col min="8207" max="8212" width="12.140625" customWidth="1"/>
    <col min="8449" max="8449" width="18.140625" customWidth="1"/>
    <col min="8450" max="8450" width="46.140625" customWidth="1"/>
    <col min="8451" max="8451" width="10" customWidth="1"/>
    <col min="8452" max="8452" width="12.42578125" customWidth="1"/>
    <col min="8453" max="8453" width="16.140625" customWidth="1"/>
    <col min="8454" max="8454" width="25.28515625" customWidth="1"/>
    <col min="8455" max="8456" width="13.7109375" customWidth="1"/>
    <col min="8457" max="8457" width="12.140625" customWidth="1"/>
    <col min="8458" max="8458" width="9.7109375" customWidth="1"/>
    <col min="8459" max="8461" width="12.140625" customWidth="1"/>
    <col min="8462" max="8462" width="0" hidden="1" customWidth="1"/>
    <col min="8463" max="8468" width="12.140625" customWidth="1"/>
    <col min="8705" max="8705" width="18.140625" customWidth="1"/>
    <col min="8706" max="8706" width="46.140625" customWidth="1"/>
    <col min="8707" max="8707" width="10" customWidth="1"/>
    <col min="8708" max="8708" width="12.42578125" customWidth="1"/>
    <col min="8709" max="8709" width="16.140625" customWidth="1"/>
    <col min="8710" max="8710" width="25.28515625" customWidth="1"/>
    <col min="8711" max="8712" width="13.7109375" customWidth="1"/>
    <col min="8713" max="8713" width="12.140625" customWidth="1"/>
    <col min="8714" max="8714" width="9.7109375" customWidth="1"/>
    <col min="8715" max="8717" width="12.140625" customWidth="1"/>
    <col min="8718" max="8718" width="0" hidden="1" customWidth="1"/>
    <col min="8719" max="8724" width="12.140625" customWidth="1"/>
    <col min="8961" max="8961" width="18.140625" customWidth="1"/>
    <col min="8962" max="8962" width="46.140625" customWidth="1"/>
    <col min="8963" max="8963" width="10" customWidth="1"/>
    <col min="8964" max="8964" width="12.42578125" customWidth="1"/>
    <col min="8965" max="8965" width="16.140625" customWidth="1"/>
    <col min="8966" max="8966" width="25.28515625" customWidth="1"/>
    <col min="8967" max="8968" width="13.7109375" customWidth="1"/>
    <col min="8969" max="8969" width="12.140625" customWidth="1"/>
    <col min="8970" max="8970" width="9.7109375" customWidth="1"/>
    <col min="8971" max="8973" width="12.140625" customWidth="1"/>
    <col min="8974" max="8974" width="0" hidden="1" customWidth="1"/>
    <col min="8975" max="8980" width="12.140625" customWidth="1"/>
    <col min="9217" max="9217" width="18.140625" customWidth="1"/>
    <col min="9218" max="9218" width="46.140625" customWidth="1"/>
    <col min="9219" max="9219" width="10" customWidth="1"/>
    <col min="9220" max="9220" width="12.42578125" customWidth="1"/>
    <col min="9221" max="9221" width="16.140625" customWidth="1"/>
    <col min="9222" max="9222" width="25.28515625" customWidth="1"/>
    <col min="9223" max="9224" width="13.7109375" customWidth="1"/>
    <col min="9225" max="9225" width="12.140625" customWidth="1"/>
    <col min="9226" max="9226" width="9.7109375" customWidth="1"/>
    <col min="9227" max="9229" width="12.140625" customWidth="1"/>
    <col min="9230" max="9230" width="0" hidden="1" customWidth="1"/>
    <col min="9231" max="9236" width="12.140625" customWidth="1"/>
    <col min="9473" max="9473" width="18.140625" customWidth="1"/>
    <col min="9474" max="9474" width="46.140625" customWidth="1"/>
    <col min="9475" max="9475" width="10" customWidth="1"/>
    <col min="9476" max="9476" width="12.42578125" customWidth="1"/>
    <col min="9477" max="9477" width="16.140625" customWidth="1"/>
    <col min="9478" max="9478" width="25.28515625" customWidth="1"/>
    <col min="9479" max="9480" width="13.7109375" customWidth="1"/>
    <col min="9481" max="9481" width="12.140625" customWidth="1"/>
    <col min="9482" max="9482" width="9.7109375" customWidth="1"/>
    <col min="9483" max="9485" width="12.140625" customWidth="1"/>
    <col min="9486" max="9486" width="0" hidden="1" customWidth="1"/>
    <col min="9487" max="9492" width="12.140625" customWidth="1"/>
    <col min="9729" max="9729" width="18.140625" customWidth="1"/>
    <col min="9730" max="9730" width="46.140625" customWidth="1"/>
    <col min="9731" max="9731" width="10" customWidth="1"/>
    <col min="9732" max="9732" width="12.42578125" customWidth="1"/>
    <col min="9733" max="9733" width="16.140625" customWidth="1"/>
    <col min="9734" max="9734" width="25.28515625" customWidth="1"/>
    <col min="9735" max="9736" width="13.7109375" customWidth="1"/>
    <col min="9737" max="9737" width="12.140625" customWidth="1"/>
    <col min="9738" max="9738" width="9.7109375" customWidth="1"/>
    <col min="9739" max="9741" width="12.140625" customWidth="1"/>
    <col min="9742" max="9742" width="0" hidden="1" customWidth="1"/>
    <col min="9743" max="9748" width="12.140625" customWidth="1"/>
    <col min="9985" max="9985" width="18.140625" customWidth="1"/>
    <col min="9986" max="9986" width="46.140625" customWidth="1"/>
    <col min="9987" max="9987" width="10" customWidth="1"/>
    <col min="9988" max="9988" width="12.42578125" customWidth="1"/>
    <col min="9989" max="9989" width="16.140625" customWidth="1"/>
    <col min="9990" max="9990" width="25.28515625" customWidth="1"/>
    <col min="9991" max="9992" width="13.7109375" customWidth="1"/>
    <col min="9993" max="9993" width="12.140625" customWidth="1"/>
    <col min="9994" max="9994" width="9.7109375" customWidth="1"/>
    <col min="9995" max="9997" width="12.140625" customWidth="1"/>
    <col min="9998" max="9998" width="0" hidden="1" customWidth="1"/>
    <col min="9999" max="10004" width="12.140625" customWidth="1"/>
    <col min="10241" max="10241" width="18.140625" customWidth="1"/>
    <col min="10242" max="10242" width="46.140625" customWidth="1"/>
    <col min="10243" max="10243" width="10" customWidth="1"/>
    <col min="10244" max="10244" width="12.42578125" customWidth="1"/>
    <col min="10245" max="10245" width="16.140625" customWidth="1"/>
    <col min="10246" max="10246" width="25.28515625" customWidth="1"/>
    <col min="10247" max="10248" width="13.7109375" customWidth="1"/>
    <col min="10249" max="10249" width="12.140625" customWidth="1"/>
    <col min="10250" max="10250" width="9.7109375" customWidth="1"/>
    <col min="10251" max="10253" width="12.140625" customWidth="1"/>
    <col min="10254" max="10254" width="0" hidden="1" customWidth="1"/>
    <col min="10255" max="10260" width="12.140625" customWidth="1"/>
    <col min="10497" max="10497" width="18.140625" customWidth="1"/>
    <col min="10498" max="10498" width="46.140625" customWidth="1"/>
    <col min="10499" max="10499" width="10" customWidth="1"/>
    <col min="10500" max="10500" width="12.42578125" customWidth="1"/>
    <col min="10501" max="10501" width="16.140625" customWidth="1"/>
    <col min="10502" max="10502" width="25.28515625" customWidth="1"/>
    <col min="10503" max="10504" width="13.7109375" customWidth="1"/>
    <col min="10505" max="10505" width="12.140625" customWidth="1"/>
    <col min="10506" max="10506" width="9.7109375" customWidth="1"/>
    <col min="10507" max="10509" width="12.140625" customWidth="1"/>
    <col min="10510" max="10510" width="0" hidden="1" customWidth="1"/>
    <col min="10511" max="10516" width="12.140625" customWidth="1"/>
    <col min="10753" max="10753" width="18.140625" customWidth="1"/>
    <col min="10754" max="10754" width="46.140625" customWidth="1"/>
    <col min="10755" max="10755" width="10" customWidth="1"/>
    <col min="10756" max="10756" width="12.42578125" customWidth="1"/>
    <col min="10757" max="10757" width="16.140625" customWidth="1"/>
    <col min="10758" max="10758" width="25.28515625" customWidth="1"/>
    <col min="10759" max="10760" width="13.7109375" customWidth="1"/>
    <col min="10761" max="10761" width="12.140625" customWidth="1"/>
    <col min="10762" max="10762" width="9.7109375" customWidth="1"/>
    <col min="10763" max="10765" width="12.140625" customWidth="1"/>
    <col min="10766" max="10766" width="0" hidden="1" customWidth="1"/>
    <col min="10767" max="10772" width="12.140625" customWidth="1"/>
    <col min="11009" max="11009" width="18.140625" customWidth="1"/>
    <col min="11010" max="11010" width="46.140625" customWidth="1"/>
    <col min="11011" max="11011" width="10" customWidth="1"/>
    <col min="11012" max="11012" width="12.42578125" customWidth="1"/>
    <col min="11013" max="11013" width="16.140625" customWidth="1"/>
    <col min="11014" max="11014" width="25.28515625" customWidth="1"/>
    <col min="11015" max="11016" width="13.7109375" customWidth="1"/>
    <col min="11017" max="11017" width="12.140625" customWidth="1"/>
    <col min="11018" max="11018" width="9.7109375" customWidth="1"/>
    <col min="11019" max="11021" width="12.140625" customWidth="1"/>
    <col min="11022" max="11022" width="0" hidden="1" customWidth="1"/>
    <col min="11023" max="11028" width="12.140625" customWidth="1"/>
    <col min="11265" max="11265" width="18.140625" customWidth="1"/>
    <col min="11266" max="11266" width="46.140625" customWidth="1"/>
    <col min="11267" max="11267" width="10" customWidth="1"/>
    <col min="11268" max="11268" width="12.42578125" customWidth="1"/>
    <col min="11269" max="11269" width="16.140625" customWidth="1"/>
    <col min="11270" max="11270" width="25.28515625" customWidth="1"/>
    <col min="11271" max="11272" width="13.7109375" customWidth="1"/>
    <col min="11273" max="11273" width="12.140625" customWidth="1"/>
    <col min="11274" max="11274" width="9.7109375" customWidth="1"/>
    <col min="11275" max="11277" width="12.140625" customWidth="1"/>
    <col min="11278" max="11278" width="0" hidden="1" customWidth="1"/>
    <col min="11279" max="11284" width="12.140625" customWidth="1"/>
    <col min="11521" max="11521" width="18.140625" customWidth="1"/>
    <col min="11522" max="11522" width="46.140625" customWidth="1"/>
    <col min="11523" max="11523" width="10" customWidth="1"/>
    <col min="11524" max="11524" width="12.42578125" customWidth="1"/>
    <col min="11525" max="11525" width="16.140625" customWidth="1"/>
    <col min="11526" max="11526" width="25.28515625" customWidth="1"/>
    <col min="11527" max="11528" width="13.7109375" customWidth="1"/>
    <col min="11529" max="11529" width="12.140625" customWidth="1"/>
    <col min="11530" max="11530" width="9.7109375" customWidth="1"/>
    <col min="11531" max="11533" width="12.140625" customWidth="1"/>
    <col min="11534" max="11534" width="0" hidden="1" customWidth="1"/>
    <col min="11535" max="11540" width="12.140625" customWidth="1"/>
    <col min="11777" max="11777" width="18.140625" customWidth="1"/>
    <col min="11778" max="11778" width="46.140625" customWidth="1"/>
    <col min="11779" max="11779" width="10" customWidth="1"/>
    <col min="11780" max="11780" width="12.42578125" customWidth="1"/>
    <col min="11781" max="11781" width="16.140625" customWidth="1"/>
    <col min="11782" max="11782" width="25.28515625" customWidth="1"/>
    <col min="11783" max="11784" width="13.7109375" customWidth="1"/>
    <col min="11785" max="11785" width="12.140625" customWidth="1"/>
    <col min="11786" max="11786" width="9.7109375" customWidth="1"/>
    <col min="11787" max="11789" width="12.140625" customWidth="1"/>
    <col min="11790" max="11790" width="0" hidden="1" customWidth="1"/>
    <col min="11791" max="11796" width="12.140625" customWidth="1"/>
    <col min="12033" max="12033" width="18.140625" customWidth="1"/>
    <col min="12034" max="12034" width="46.140625" customWidth="1"/>
    <col min="12035" max="12035" width="10" customWidth="1"/>
    <col min="12036" max="12036" width="12.42578125" customWidth="1"/>
    <col min="12037" max="12037" width="16.140625" customWidth="1"/>
    <col min="12038" max="12038" width="25.28515625" customWidth="1"/>
    <col min="12039" max="12040" width="13.7109375" customWidth="1"/>
    <col min="12041" max="12041" width="12.140625" customWidth="1"/>
    <col min="12042" max="12042" width="9.7109375" customWidth="1"/>
    <col min="12043" max="12045" width="12.140625" customWidth="1"/>
    <col min="12046" max="12046" width="0" hidden="1" customWidth="1"/>
    <col min="12047" max="12052" width="12.140625" customWidth="1"/>
    <col min="12289" max="12289" width="18.140625" customWidth="1"/>
    <col min="12290" max="12290" width="46.140625" customWidth="1"/>
    <col min="12291" max="12291" width="10" customWidth="1"/>
    <col min="12292" max="12292" width="12.42578125" customWidth="1"/>
    <col min="12293" max="12293" width="16.140625" customWidth="1"/>
    <col min="12294" max="12294" width="25.28515625" customWidth="1"/>
    <col min="12295" max="12296" width="13.7109375" customWidth="1"/>
    <col min="12297" max="12297" width="12.140625" customWidth="1"/>
    <col min="12298" max="12298" width="9.7109375" customWidth="1"/>
    <col min="12299" max="12301" width="12.140625" customWidth="1"/>
    <col min="12302" max="12302" width="0" hidden="1" customWidth="1"/>
    <col min="12303" max="12308" width="12.140625" customWidth="1"/>
    <col min="12545" max="12545" width="18.140625" customWidth="1"/>
    <col min="12546" max="12546" width="46.140625" customWidth="1"/>
    <col min="12547" max="12547" width="10" customWidth="1"/>
    <col min="12548" max="12548" width="12.42578125" customWidth="1"/>
    <col min="12549" max="12549" width="16.140625" customWidth="1"/>
    <col min="12550" max="12550" width="25.28515625" customWidth="1"/>
    <col min="12551" max="12552" width="13.7109375" customWidth="1"/>
    <col min="12553" max="12553" width="12.140625" customWidth="1"/>
    <col min="12554" max="12554" width="9.7109375" customWidth="1"/>
    <col min="12555" max="12557" width="12.140625" customWidth="1"/>
    <col min="12558" max="12558" width="0" hidden="1" customWidth="1"/>
    <col min="12559" max="12564" width="12.140625" customWidth="1"/>
    <col min="12801" max="12801" width="18.140625" customWidth="1"/>
    <col min="12802" max="12802" width="46.140625" customWidth="1"/>
    <col min="12803" max="12803" width="10" customWidth="1"/>
    <col min="12804" max="12804" width="12.42578125" customWidth="1"/>
    <col min="12805" max="12805" width="16.140625" customWidth="1"/>
    <col min="12806" max="12806" width="25.28515625" customWidth="1"/>
    <col min="12807" max="12808" width="13.7109375" customWidth="1"/>
    <col min="12809" max="12809" width="12.140625" customWidth="1"/>
    <col min="12810" max="12810" width="9.7109375" customWidth="1"/>
    <col min="12811" max="12813" width="12.140625" customWidth="1"/>
    <col min="12814" max="12814" width="0" hidden="1" customWidth="1"/>
    <col min="12815" max="12820" width="12.140625" customWidth="1"/>
    <col min="13057" max="13057" width="18.140625" customWidth="1"/>
    <col min="13058" max="13058" width="46.140625" customWidth="1"/>
    <col min="13059" max="13059" width="10" customWidth="1"/>
    <col min="13060" max="13060" width="12.42578125" customWidth="1"/>
    <col min="13061" max="13061" width="16.140625" customWidth="1"/>
    <col min="13062" max="13062" width="25.28515625" customWidth="1"/>
    <col min="13063" max="13064" width="13.7109375" customWidth="1"/>
    <col min="13065" max="13065" width="12.140625" customWidth="1"/>
    <col min="13066" max="13066" width="9.7109375" customWidth="1"/>
    <col min="13067" max="13069" width="12.140625" customWidth="1"/>
    <col min="13070" max="13070" width="0" hidden="1" customWidth="1"/>
    <col min="13071" max="13076" width="12.140625" customWidth="1"/>
    <col min="13313" max="13313" width="18.140625" customWidth="1"/>
    <col min="13314" max="13314" width="46.140625" customWidth="1"/>
    <col min="13315" max="13315" width="10" customWidth="1"/>
    <col min="13316" max="13316" width="12.42578125" customWidth="1"/>
    <col min="13317" max="13317" width="16.140625" customWidth="1"/>
    <col min="13318" max="13318" width="25.28515625" customWidth="1"/>
    <col min="13319" max="13320" width="13.7109375" customWidth="1"/>
    <col min="13321" max="13321" width="12.140625" customWidth="1"/>
    <col min="13322" max="13322" width="9.7109375" customWidth="1"/>
    <col min="13323" max="13325" width="12.140625" customWidth="1"/>
    <col min="13326" max="13326" width="0" hidden="1" customWidth="1"/>
    <col min="13327" max="13332" width="12.140625" customWidth="1"/>
    <col min="13569" max="13569" width="18.140625" customWidth="1"/>
    <col min="13570" max="13570" width="46.140625" customWidth="1"/>
    <col min="13571" max="13571" width="10" customWidth="1"/>
    <col min="13572" max="13572" width="12.42578125" customWidth="1"/>
    <col min="13573" max="13573" width="16.140625" customWidth="1"/>
    <col min="13574" max="13574" width="25.28515625" customWidth="1"/>
    <col min="13575" max="13576" width="13.7109375" customWidth="1"/>
    <col min="13577" max="13577" width="12.140625" customWidth="1"/>
    <col min="13578" max="13578" width="9.7109375" customWidth="1"/>
    <col min="13579" max="13581" width="12.140625" customWidth="1"/>
    <col min="13582" max="13582" width="0" hidden="1" customWidth="1"/>
    <col min="13583" max="13588" width="12.140625" customWidth="1"/>
    <col min="13825" max="13825" width="18.140625" customWidth="1"/>
    <col min="13826" max="13826" width="46.140625" customWidth="1"/>
    <col min="13827" max="13827" width="10" customWidth="1"/>
    <col min="13828" max="13828" width="12.42578125" customWidth="1"/>
    <col min="13829" max="13829" width="16.140625" customWidth="1"/>
    <col min="13830" max="13830" width="25.28515625" customWidth="1"/>
    <col min="13831" max="13832" width="13.7109375" customWidth="1"/>
    <col min="13833" max="13833" width="12.140625" customWidth="1"/>
    <col min="13834" max="13834" width="9.7109375" customWidth="1"/>
    <col min="13835" max="13837" width="12.140625" customWidth="1"/>
    <col min="13838" max="13838" width="0" hidden="1" customWidth="1"/>
    <col min="13839" max="13844" width="12.140625" customWidth="1"/>
    <col min="14081" max="14081" width="18.140625" customWidth="1"/>
    <col min="14082" max="14082" width="46.140625" customWidth="1"/>
    <col min="14083" max="14083" width="10" customWidth="1"/>
    <col min="14084" max="14084" width="12.42578125" customWidth="1"/>
    <col min="14085" max="14085" width="16.140625" customWidth="1"/>
    <col min="14086" max="14086" width="25.28515625" customWidth="1"/>
    <col min="14087" max="14088" width="13.7109375" customWidth="1"/>
    <col min="14089" max="14089" width="12.140625" customWidth="1"/>
    <col min="14090" max="14090" width="9.7109375" customWidth="1"/>
    <col min="14091" max="14093" width="12.140625" customWidth="1"/>
    <col min="14094" max="14094" width="0" hidden="1" customWidth="1"/>
    <col min="14095" max="14100" width="12.140625" customWidth="1"/>
    <col min="14337" max="14337" width="18.140625" customWidth="1"/>
    <col min="14338" max="14338" width="46.140625" customWidth="1"/>
    <col min="14339" max="14339" width="10" customWidth="1"/>
    <col min="14340" max="14340" width="12.42578125" customWidth="1"/>
    <col min="14341" max="14341" width="16.140625" customWidth="1"/>
    <col min="14342" max="14342" width="25.28515625" customWidth="1"/>
    <col min="14343" max="14344" width="13.7109375" customWidth="1"/>
    <col min="14345" max="14345" width="12.140625" customWidth="1"/>
    <col min="14346" max="14346" width="9.7109375" customWidth="1"/>
    <col min="14347" max="14349" width="12.140625" customWidth="1"/>
    <col min="14350" max="14350" width="0" hidden="1" customWidth="1"/>
    <col min="14351" max="14356" width="12.140625" customWidth="1"/>
    <col min="14593" max="14593" width="18.140625" customWidth="1"/>
    <col min="14594" max="14594" width="46.140625" customWidth="1"/>
    <col min="14595" max="14595" width="10" customWidth="1"/>
    <col min="14596" max="14596" width="12.42578125" customWidth="1"/>
    <col min="14597" max="14597" width="16.140625" customWidth="1"/>
    <col min="14598" max="14598" width="25.28515625" customWidth="1"/>
    <col min="14599" max="14600" width="13.7109375" customWidth="1"/>
    <col min="14601" max="14601" width="12.140625" customWidth="1"/>
    <col min="14602" max="14602" width="9.7109375" customWidth="1"/>
    <col min="14603" max="14605" width="12.140625" customWidth="1"/>
    <col min="14606" max="14606" width="0" hidden="1" customWidth="1"/>
    <col min="14607" max="14612" width="12.140625" customWidth="1"/>
    <col min="14849" max="14849" width="18.140625" customWidth="1"/>
    <col min="14850" max="14850" width="46.140625" customWidth="1"/>
    <col min="14851" max="14851" width="10" customWidth="1"/>
    <col min="14852" max="14852" width="12.42578125" customWidth="1"/>
    <col min="14853" max="14853" width="16.140625" customWidth="1"/>
    <col min="14854" max="14854" width="25.28515625" customWidth="1"/>
    <col min="14855" max="14856" width="13.7109375" customWidth="1"/>
    <col min="14857" max="14857" width="12.140625" customWidth="1"/>
    <col min="14858" max="14858" width="9.7109375" customWidth="1"/>
    <col min="14859" max="14861" width="12.140625" customWidth="1"/>
    <col min="14862" max="14862" width="0" hidden="1" customWidth="1"/>
    <col min="14863" max="14868" width="12.140625" customWidth="1"/>
    <col min="15105" max="15105" width="18.140625" customWidth="1"/>
    <col min="15106" max="15106" width="46.140625" customWidth="1"/>
    <col min="15107" max="15107" width="10" customWidth="1"/>
    <col min="15108" max="15108" width="12.42578125" customWidth="1"/>
    <col min="15109" max="15109" width="16.140625" customWidth="1"/>
    <col min="15110" max="15110" width="25.28515625" customWidth="1"/>
    <col min="15111" max="15112" width="13.7109375" customWidth="1"/>
    <col min="15113" max="15113" width="12.140625" customWidth="1"/>
    <col min="15114" max="15114" width="9.7109375" customWidth="1"/>
    <col min="15115" max="15117" width="12.140625" customWidth="1"/>
    <col min="15118" max="15118" width="0" hidden="1" customWidth="1"/>
    <col min="15119" max="15124" width="12.140625" customWidth="1"/>
    <col min="15361" max="15361" width="18.140625" customWidth="1"/>
    <col min="15362" max="15362" width="46.140625" customWidth="1"/>
    <col min="15363" max="15363" width="10" customWidth="1"/>
    <col min="15364" max="15364" width="12.42578125" customWidth="1"/>
    <col min="15365" max="15365" width="16.140625" customWidth="1"/>
    <col min="15366" max="15366" width="25.28515625" customWidth="1"/>
    <col min="15367" max="15368" width="13.7109375" customWidth="1"/>
    <col min="15369" max="15369" width="12.140625" customWidth="1"/>
    <col min="15370" max="15370" width="9.7109375" customWidth="1"/>
    <col min="15371" max="15373" width="12.140625" customWidth="1"/>
    <col min="15374" max="15374" width="0" hidden="1" customWidth="1"/>
    <col min="15375" max="15380" width="12.140625" customWidth="1"/>
    <col min="15617" max="15617" width="18.140625" customWidth="1"/>
    <col min="15618" max="15618" width="46.140625" customWidth="1"/>
    <col min="15619" max="15619" width="10" customWidth="1"/>
    <col min="15620" max="15620" width="12.42578125" customWidth="1"/>
    <col min="15621" max="15621" width="16.140625" customWidth="1"/>
    <col min="15622" max="15622" width="25.28515625" customWidth="1"/>
    <col min="15623" max="15624" width="13.7109375" customWidth="1"/>
    <col min="15625" max="15625" width="12.140625" customWidth="1"/>
    <col min="15626" max="15626" width="9.7109375" customWidth="1"/>
    <col min="15627" max="15629" width="12.140625" customWidth="1"/>
    <col min="15630" max="15630" width="0" hidden="1" customWidth="1"/>
    <col min="15631" max="15636" width="12.140625" customWidth="1"/>
    <col min="15873" max="15873" width="18.140625" customWidth="1"/>
    <col min="15874" max="15874" width="46.140625" customWidth="1"/>
    <col min="15875" max="15875" width="10" customWidth="1"/>
    <col min="15876" max="15876" width="12.42578125" customWidth="1"/>
    <col min="15877" max="15877" width="16.140625" customWidth="1"/>
    <col min="15878" max="15878" width="25.28515625" customWidth="1"/>
    <col min="15879" max="15880" width="13.7109375" customWidth="1"/>
    <col min="15881" max="15881" width="12.140625" customWidth="1"/>
    <col min="15882" max="15882" width="9.7109375" customWidth="1"/>
    <col min="15883" max="15885" width="12.140625" customWidth="1"/>
    <col min="15886" max="15886" width="0" hidden="1" customWidth="1"/>
    <col min="15887" max="15892" width="12.140625" customWidth="1"/>
    <col min="16129" max="16129" width="18.140625" customWidth="1"/>
    <col min="16130" max="16130" width="46.140625" customWidth="1"/>
    <col min="16131" max="16131" width="10" customWidth="1"/>
    <col min="16132" max="16132" width="12.42578125" customWidth="1"/>
    <col min="16133" max="16133" width="16.140625" customWidth="1"/>
    <col min="16134" max="16134" width="25.28515625" customWidth="1"/>
    <col min="16135" max="16136" width="13.7109375" customWidth="1"/>
    <col min="16137" max="16137" width="12.140625" customWidth="1"/>
    <col min="16138" max="16138" width="9.7109375" customWidth="1"/>
    <col min="16139" max="16141" width="12.140625" customWidth="1"/>
    <col min="16142" max="16142" width="0" hidden="1" customWidth="1"/>
    <col min="16143" max="16148" width="12.140625" customWidth="1"/>
  </cols>
  <sheetData>
    <row r="1" spans="1:20" ht="15" customHeight="1">
      <c r="A1" s="552"/>
      <c r="B1" s="553" t="s">
        <v>429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5"/>
    </row>
    <row r="2" spans="1:20" ht="15" customHeight="1">
      <c r="A2" s="552"/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8"/>
    </row>
    <row r="3" spans="1:20" ht="15" customHeight="1">
      <c r="A3" s="552"/>
      <c r="B3" s="559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1"/>
    </row>
    <row r="6" spans="1:20" ht="56.25">
      <c r="A6" s="293" t="s">
        <v>430</v>
      </c>
      <c r="B6" s="293" t="s">
        <v>431</v>
      </c>
      <c r="C6" s="293" t="s">
        <v>432</v>
      </c>
      <c r="D6" s="293" t="s">
        <v>433</v>
      </c>
      <c r="E6" s="293" t="s">
        <v>434</v>
      </c>
      <c r="F6" s="293" t="s">
        <v>435</v>
      </c>
      <c r="G6" s="293" t="s">
        <v>436</v>
      </c>
      <c r="H6" s="293" t="s">
        <v>437</v>
      </c>
      <c r="I6" s="293" t="s">
        <v>438</v>
      </c>
      <c r="J6" s="293" t="s">
        <v>439</v>
      </c>
      <c r="K6" s="293" t="s">
        <v>440</v>
      </c>
      <c r="L6" s="293" t="s">
        <v>441</v>
      </c>
      <c r="M6" s="294" t="s">
        <v>442</v>
      </c>
      <c r="N6" s="295" t="s">
        <v>443</v>
      </c>
      <c r="O6" s="296" t="s">
        <v>444</v>
      </c>
      <c r="P6" s="293" t="s">
        <v>445</v>
      </c>
      <c r="Q6" s="293" t="s">
        <v>446</v>
      </c>
      <c r="R6" s="293" t="s">
        <v>447</v>
      </c>
      <c r="S6" s="293" t="s">
        <v>448</v>
      </c>
      <c r="T6" s="293" t="s">
        <v>449</v>
      </c>
    </row>
    <row r="7" spans="1:20">
      <c r="A7" s="291" t="s">
        <v>89</v>
      </c>
      <c r="B7" s="291" t="s">
        <v>450</v>
      </c>
      <c r="C7" s="291" t="s">
        <v>451</v>
      </c>
      <c r="D7" s="291" t="s">
        <v>452</v>
      </c>
      <c r="E7" s="291" t="s">
        <v>453</v>
      </c>
      <c r="F7" s="297" t="s">
        <v>454</v>
      </c>
      <c r="G7" s="298">
        <v>45769</v>
      </c>
      <c r="H7" s="305"/>
      <c r="I7" s="298"/>
      <c r="J7" s="298"/>
      <c r="K7" s="299">
        <f t="shared" ref="K7:K40" si="0">IF(I7&lt;&gt;"",1,0)</f>
        <v>0</v>
      </c>
      <c r="L7" s="300">
        <v>4</v>
      </c>
      <c r="M7" s="301">
        <v>0</v>
      </c>
      <c r="N7" s="302">
        <v>0</v>
      </c>
      <c r="O7" s="303">
        <v>0</v>
      </c>
      <c r="P7" s="304">
        <f t="shared" ref="P7:P10" si="1">SUM(M7:O7)</f>
        <v>0</v>
      </c>
      <c r="Q7" s="305"/>
      <c r="R7" s="305"/>
      <c r="S7" s="305"/>
      <c r="T7" s="304">
        <f t="shared" ref="T7:T40" si="2">P7-Q7</f>
        <v>0</v>
      </c>
    </row>
    <row r="8" spans="1:20">
      <c r="A8" s="291" t="s">
        <v>89</v>
      </c>
      <c r="B8" s="291" t="s">
        <v>450</v>
      </c>
      <c r="C8" s="291" t="s">
        <v>451</v>
      </c>
      <c r="D8" s="291" t="s">
        <v>452</v>
      </c>
      <c r="E8" s="291" t="s">
        <v>455</v>
      </c>
      <c r="F8" s="297" t="s">
        <v>454</v>
      </c>
      <c r="G8" s="298">
        <v>45769</v>
      </c>
      <c r="H8" s="305"/>
      <c r="I8" s="298"/>
      <c r="J8" s="298"/>
      <c r="K8" s="299">
        <f t="shared" si="0"/>
        <v>0</v>
      </c>
      <c r="L8" s="300">
        <v>4</v>
      </c>
      <c r="M8" s="301">
        <v>0</v>
      </c>
      <c r="N8" s="302">
        <v>0</v>
      </c>
      <c r="O8" s="303">
        <v>0</v>
      </c>
      <c r="P8" s="304">
        <f t="shared" si="1"/>
        <v>0</v>
      </c>
      <c r="Q8" s="305"/>
      <c r="R8" s="305"/>
      <c r="S8" s="305"/>
      <c r="T8" s="304">
        <f t="shared" si="2"/>
        <v>0</v>
      </c>
    </row>
    <row r="9" spans="1:20">
      <c r="A9" s="291" t="s">
        <v>89</v>
      </c>
      <c r="B9" s="291" t="s">
        <v>450</v>
      </c>
      <c r="C9" s="291" t="s">
        <v>451</v>
      </c>
      <c r="D9" s="291" t="s">
        <v>452</v>
      </c>
      <c r="E9" s="291" t="s">
        <v>456</v>
      </c>
      <c r="F9" s="297" t="s">
        <v>454</v>
      </c>
      <c r="G9" s="298">
        <v>45769</v>
      </c>
      <c r="H9" s="305"/>
      <c r="I9" s="298"/>
      <c r="J9" s="298"/>
      <c r="K9" s="299">
        <f t="shared" si="0"/>
        <v>0</v>
      </c>
      <c r="L9" s="300">
        <v>4</v>
      </c>
      <c r="M9" s="301">
        <v>0</v>
      </c>
      <c r="N9" s="302">
        <v>0</v>
      </c>
      <c r="O9" s="303">
        <v>0</v>
      </c>
      <c r="P9" s="304">
        <f t="shared" si="1"/>
        <v>0</v>
      </c>
      <c r="Q9" s="305"/>
      <c r="R9" s="305"/>
      <c r="S9" s="305"/>
      <c r="T9" s="304">
        <f t="shared" si="2"/>
        <v>0</v>
      </c>
    </row>
    <row r="10" spans="1:20">
      <c r="A10" s="291" t="s">
        <v>89</v>
      </c>
      <c r="B10" s="291" t="s">
        <v>450</v>
      </c>
      <c r="C10" s="291" t="s">
        <v>451</v>
      </c>
      <c r="D10" s="291" t="s">
        <v>452</v>
      </c>
      <c r="E10" s="291" t="s">
        <v>457</v>
      </c>
      <c r="F10" s="297" t="s">
        <v>454</v>
      </c>
      <c r="G10" s="298">
        <v>45769</v>
      </c>
      <c r="H10" s="305"/>
      <c r="I10" s="298"/>
      <c r="J10" s="298"/>
      <c r="K10" s="299">
        <f t="shared" si="0"/>
        <v>0</v>
      </c>
      <c r="L10" s="300">
        <v>4</v>
      </c>
      <c r="M10" s="301">
        <v>0</v>
      </c>
      <c r="N10" s="302"/>
      <c r="O10" s="303">
        <v>0</v>
      </c>
      <c r="P10" s="304">
        <f t="shared" si="1"/>
        <v>0</v>
      </c>
      <c r="Q10" s="305"/>
      <c r="R10" s="305"/>
      <c r="S10" s="305"/>
      <c r="T10" s="304">
        <f t="shared" si="2"/>
        <v>0</v>
      </c>
    </row>
    <row r="11" spans="1:20">
      <c r="A11" s="291" t="s">
        <v>89</v>
      </c>
      <c r="B11" s="291" t="s">
        <v>458</v>
      </c>
      <c r="C11" s="291" t="s">
        <v>451</v>
      </c>
      <c r="D11" s="291" t="s">
        <v>452</v>
      </c>
      <c r="E11" s="291" t="s">
        <v>453</v>
      </c>
      <c r="F11" s="297" t="s">
        <v>454</v>
      </c>
      <c r="G11" s="298"/>
      <c r="H11" s="305"/>
      <c r="I11" s="298"/>
      <c r="J11" s="298"/>
      <c r="K11" s="299">
        <f t="shared" ref="K11:K14" si="3">IF(I11&lt;&gt;"",1,0)</f>
        <v>0</v>
      </c>
      <c r="L11" s="300">
        <v>4</v>
      </c>
      <c r="M11" s="301">
        <v>0</v>
      </c>
      <c r="N11" s="302"/>
      <c r="O11" s="303">
        <v>0</v>
      </c>
      <c r="P11" s="304">
        <f t="shared" ref="P11:P40" si="4">SUM(M11:O11)</f>
        <v>0</v>
      </c>
      <c r="Q11" s="305"/>
      <c r="R11" s="305"/>
      <c r="S11" s="305"/>
      <c r="T11" s="304">
        <f t="shared" si="2"/>
        <v>0</v>
      </c>
    </row>
    <row r="12" spans="1:20">
      <c r="A12" s="291" t="s">
        <v>89</v>
      </c>
      <c r="B12" s="291" t="s">
        <v>458</v>
      </c>
      <c r="C12" s="291" t="s">
        <v>451</v>
      </c>
      <c r="D12" s="291" t="s">
        <v>452</v>
      </c>
      <c r="E12" s="291" t="s">
        <v>455</v>
      </c>
      <c r="F12" s="297" t="s">
        <v>454</v>
      </c>
      <c r="G12" s="298"/>
      <c r="H12" s="305"/>
      <c r="I12" s="298"/>
      <c r="J12" s="298"/>
      <c r="K12" s="299">
        <f t="shared" si="3"/>
        <v>0</v>
      </c>
      <c r="L12" s="300">
        <v>4</v>
      </c>
      <c r="M12" s="301">
        <v>0</v>
      </c>
      <c r="N12" s="302"/>
      <c r="O12" s="303">
        <v>0</v>
      </c>
      <c r="P12" s="304">
        <f t="shared" si="4"/>
        <v>0</v>
      </c>
      <c r="Q12" s="305"/>
      <c r="R12" s="305"/>
      <c r="S12" s="305"/>
      <c r="T12" s="304">
        <f t="shared" si="2"/>
        <v>0</v>
      </c>
    </row>
    <row r="13" spans="1:20">
      <c r="A13" s="291" t="s">
        <v>89</v>
      </c>
      <c r="B13" s="291" t="s">
        <v>458</v>
      </c>
      <c r="C13" s="291" t="s">
        <v>451</v>
      </c>
      <c r="D13" s="291" t="s">
        <v>452</v>
      </c>
      <c r="E13" s="291" t="s">
        <v>456</v>
      </c>
      <c r="F13" s="297" t="s">
        <v>454</v>
      </c>
      <c r="G13" s="298"/>
      <c r="H13" s="305"/>
      <c r="I13" s="298"/>
      <c r="J13" s="298"/>
      <c r="K13" s="299">
        <f t="shared" si="3"/>
        <v>0</v>
      </c>
      <c r="L13" s="300">
        <v>4</v>
      </c>
      <c r="M13" s="301">
        <v>0</v>
      </c>
      <c r="N13" s="302"/>
      <c r="O13" s="303">
        <v>0</v>
      </c>
      <c r="P13" s="304">
        <f t="shared" si="4"/>
        <v>0</v>
      </c>
      <c r="Q13" s="305"/>
      <c r="R13" s="305"/>
      <c r="S13" s="305"/>
      <c r="T13" s="304">
        <f t="shared" si="2"/>
        <v>0</v>
      </c>
    </row>
    <row r="14" spans="1:20">
      <c r="A14" s="291" t="s">
        <v>89</v>
      </c>
      <c r="B14" s="291" t="s">
        <v>458</v>
      </c>
      <c r="C14" s="291" t="s">
        <v>451</v>
      </c>
      <c r="D14" s="291" t="s">
        <v>452</v>
      </c>
      <c r="E14" s="291" t="s">
        <v>457</v>
      </c>
      <c r="F14" s="297" t="s">
        <v>454</v>
      </c>
      <c r="G14" s="298"/>
      <c r="H14" s="305"/>
      <c r="I14" s="298"/>
      <c r="J14" s="298"/>
      <c r="K14" s="299">
        <f t="shared" si="3"/>
        <v>0</v>
      </c>
      <c r="L14" s="300">
        <v>4</v>
      </c>
      <c r="M14" s="301">
        <v>0</v>
      </c>
      <c r="N14" s="302"/>
      <c r="O14" s="303">
        <v>0</v>
      </c>
      <c r="P14" s="304">
        <f t="shared" si="4"/>
        <v>0</v>
      </c>
      <c r="Q14" s="305"/>
      <c r="R14" s="305"/>
      <c r="S14" s="305"/>
      <c r="T14" s="304">
        <f t="shared" si="2"/>
        <v>0</v>
      </c>
    </row>
    <row r="15" spans="1:20">
      <c r="A15" s="291" t="s">
        <v>97</v>
      </c>
      <c r="B15" s="291" t="s">
        <v>459</v>
      </c>
      <c r="C15" s="291" t="s">
        <v>451</v>
      </c>
      <c r="D15" s="538" t="s">
        <v>460</v>
      </c>
      <c r="E15" s="291" t="s">
        <v>455</v>
      </c>
      <c r="F15" s="297" t="s">
        <v>461</v>
      </c>
      <c r="G15" s="539" t="s">
        <v>462</v>
      </c>
      <c r="H15" s="540" t="s">
        <v>463</v>
      </c>
      <c r="I15" s="539"/>
      <c r="J15" s="539"/>
      <c r="K15" s="541">
        <f t="shared" si="0"/>
        <v>0</v>
      </c>
      <c r="L15" s="542">
        <v>14</v>
      </c>
      <c r="M15" s="543">
        <v>713</v>
      </c>
      <c r="N15" s="544"/>
      <c r="O15" s="545"/>
      <c r="P15" s="546">
        <f t="shared" si="4"/>
        <v>713</v>
      </c>
      <c r="Q15" s="546">
        <v>280</v>
      </c>
      <c r="R15" s="547" t="s">
        <v>386</v>
      </c>
      <c r="S15" s="548"/>
      <c r="T15" s="546">
        <f t="shared" si="2"/>
        <v>433</v>
      </c>
    </row>
    <row r="16" spans="1:20">
      <c r="A16" s="291" t="s">
        <v>97</v>
      </c>
      <c r="B16" s="291" t="s">
        <v>459</v>
      </c>
      <c r="C16" s="291" t="s">
        <v>464</v>
      </c>
      <c r="D16" s="538" t="s">
        <v>460</v>
      </c>
      <c r="E16" s="291" t="s">
        <v>456</v>
      </c>
      <c r="F16" s="297" t="s">
        <v>465</v>
      </c>
      <c r="G16" s="539"/>
      <c r="H16" s="540"/>
      <c r="I16" s="539"/>
      <c r="J16" s="539"/>
      <c r="K16" s="541">
        <f t="shared" si="0"/>
        <v>0</v>
      </c>
      <c r="L16" s="542"/>
      <c r="M16" s="543"/>
      <c r="N16" s="544"/>
      <c r="O16" s="545"/>
      <c r="P16" s="546">
        <f t="shared" si="4"/>
        <v>0</v>
      </c>
      <c r="Q16" s="546"/>
      <c r="R16" s="547"/>
      <c r="S16" s="548"/>
      <c r="T16" s="546">
        <f t="shared" si="2"/>
        <v>0</v>
      </c>
    </row>
    <row r="17" spans="1:20">
      <c r="A17" s="291" t="s">
        <v>89</v>
      </c>
      <c r="B17" s="291" t="s">
        <v>466</v>
      </c>
      <c r="C17" s="291" t="s">
        <v>451</v>
      </c>
      <c r="D17" s="291" t="s">
        <v>460</v>
      </c>
      <c r="E17" s="291" t="s">
        <v>453</v>
      </c>
      <c r="F17" s="297" t="s">
        <v>461</v>
      </c>
      <c r="G17" s="298"/>
      <c r="H17" s="435"/>
      <c r="I17" s="298"/>
      <c r="J17" s="298"/>
      <c r="K17" s="299">
        <f t="shared" si="0"/>
        <v>0</v>
      </c>
      <c r="L17" s="300"/>
      <c r="M17" s="301">
        <f>990/4</f>
        <v>247.5</v>
      </c>
      <c r="N17" s="302"/>
      <c r="O17" s="303"/>
      <c r="P17" s="304">
        <f t="shared" si="4"/>
        <v>247.5</v>
      </c>
      <c r="Q17" s="306"/>
      <c r="R17" s="307"/>
      <c r="S17" s="307"/>
      <c r="T17" s="304">
        <f t="shared" si="2"/>
        <v>247.5</v>
      </c>
    </row>
    <row r="18" spans="1:20">
      <c r="A18" s="291" t="s">
        <v>89</v>
      </c>
      <c r="B18" s="291" t="s">
        <v>466</v>
      </c>
      <c r="C18" s="291" t="s">
        <v>451</v>
      </c>
      <c r="D18" s="291" t="s">
        <v>460</v>
      </c>
      <c r="E18" s="291" t="s">
        <v>455</v>
      </c>
      <c r="F18" s="297" t="s">
        <v>461</v>
      </c>
      <c r="G18" s="298">
        <v>46042</v>
      </c>
      <c r="H18" s="435"/>
      <c r="I18" s="298"/>
      <c r="J18" s="298"/>
      <c r="K18" s="299">
        <f t="shared" si="0"/>
        <v>0</v>
      </c>
      <c r="L18" s="300"/>
      <c r="M18" s="301">
        <f>990/4</f>
        <v>247.5</v>
      </c>
      <c r="N18" s="302"/>
      <c r="O18" s="303"/>
      <c r="P18" s="304">
        <f t="shared" si="4"/>
        <v>247.5</v>
      </c>
      <c r="Q18" s="306"/>
      <c r="R18" s="307"/>
      <c r="S18" s="307"/>
      <c r="T18" s="304">
        <f t="shared" si="2"/>
        <v>247.5</v>
      </c>
    </row>
    <row r="19" spans="1:20">
      <c r="A19" s="291" t="s">
        <v>89</v>
      </c>
      <c r="B19" s="291" t="s">
        <v>466</v>
      </c>
      <c r="C19" s="291" t="s">
        <v>451</v>
      </c>
      <c r="D19" s="291" t="s">
        <v>460</v>
      </c>
      <c r="E19" s="291" t="s">
        <v>456</v>
      </c>
      <c r="F19" s="297" t="s">
        <v>461</v>
      </c>
      <c r="G19" s="298">
        <v>46042</v>
      </c>
      <c r="H19" s="435"/>
      <c r="I19" s="298"/>
      <c r="J19" s="298"/>
      <c r="K19" s="299">
        <f t="shared" si="0"/>
        <v>0</v>
      </c>
      <c r="L19" s="300"/>
      <c r="M19" s="301">
        <f>990/4</f>
        <v>247.5</v>
      </c>
      <c r="N19" s="302"/>
      <c r="O19" s="303"/>
      <c r="P19" s="304">
        <f t="shared" si="4"/>
        <v>247.5</v>
      </c>
      <c r="Q19" s="306"/>
      <c r="R19" s="307"/>
      <c r="S19" s="307"/>
      <c r="T19" s="304">
        <f t="shared" si="2"/>
        <v>247.5</v>
      </c>
    </row>
    <row r="20" spans="1:20">
      <c r="A20" s="291" t="s">
        <v>89</v>
      </c>
      <c r="B20" s="291" t="s">
        <v>466</v>
      </c>
      <c r="C20" s="291" t="s">
        <v>451</v>
      </c>
      <c r="D20" s="291" t="s">
        <v>460</v>
      </c>
      <c r="E20" s="291" t="s">
        <v>457</v>
      </c>
      <c r="F20" s="297" t="s">
        <v>461</v>
      </c>
      <c r="G20" s="298">
        <v>46042</v>
      </c>
      <c r="H20" s="435"/>
      <c r="I20" s="298"/>
      <c r="J20" s="298"/>
      <c r="K20" s="299">
        <f t="shared" si="0"/>
        <v>0</v>
      </c>
      <c r="L20" s="300"/>
      <c r="M20" s="301">
        <f>990/4</f>
        <v>247.5</v>
      </c>
      <c r="N20" s="302"/>
      <c r="O20" s="303"/>
      <c r="P20" s="304">
        <f t="shared" si="4"/>
        <v>247.5</v>
      </c>
      <c r="Q20" s="306"/>
      <c r="R20" s="307"/>
      <c r="S20" s="307"/>
      <c r="T20" s="304">
        <f t="shared" si="2"/>
        <v>247.5</v>
      </c>
    </row>
    <row r="21" spans="1:20">
      <c r="A21" s="291" t="s">
        <v>206</v>
      </c>
      <c r="B21" s="291" t="s">
        <v>467</v>
      </c>
      <c r="C21" s="291" t="s">
        <v>451</v>
      </c>
      <c r="D21" s="291" t="s">
        <v>468</v>
      </c>
      <c r="E21" s="291" t="s">
        <v>456</v>
      </c>
      <c r="F21" s="297" t="s">
        <v>461</v>
      </c>
      <c r="G21" s="298" t="s">
        <v>469</v>
      </c>
      <c r="H21" s="435"/>
      <c r="I21" s="298"/>
      <c r="J21" s="298"/>
      <c r="K21" s="299">
        <f t="shared" si="0"/>
        <v>0</v>
      </c>
      <c r="L21" s="300"/>
      <c r="M21" s="301"/>
      <c r="N21" s="302"/>
      <c r="O21" s="303"/>
      <c r="P21" s="304">
        <f t="shared" si="4"/>
        <v>0</v>
      </c>
      <c r="Q21" s="306"/>
      <c r="R21" s="307"/>
      <c r="S21" s="307"/>
      <c r="T21" s="304">
        <f t="shared" si="2"/>
        <v>0</v>
      </c>
    </row>
    <row r="22" spans="1:20">
      <c r="A22" s="291" t="s">
        <v>206</v>
      </c>
      <c r="B22" s="291" t="s">
        <v>467</v>
      </c>
      <c r="C22" s="291" t="s">
        <v>451</v>
      </c>
      <c r="D22" s="291" t="s">
        <v>468</v>
      </c>
      <c r="E22" s="291" t="s">
        <v>453</v>
      </c>
      <c r="F22" s="297" t="s">
        <v>461</v>
      </c>
      <c r="G22" s="298" t="s">
        <v>469</v>
      </c>
      <c r="H22" s="435"/>
      <c r="I22" s="298"/>
      <c r="J22" s="298"/>
      <c r="K22" s="299">
        <f t="shared" si="0"/>
        <v>0</v>
      </c>
      <c r="L22" s="300"/>
      <c r="M22" s="301"/>
      <c r="N22" s="302"/>
      <c r="O22" s="303"/>
      <c r="P22" s="304">
        <f t="shared" si="4"/>
        <v>0</v>
      </c>
      <c r="Q22" s="306"/>
      <c r="R22" s="307"/>
      <c r="S22" s="307"/>
      <c r="T22" s="304">
        <f t="shared" si="2"/>
        <v>0</v>
      </c>
    </row>
    <row r="23" spans="1:20">
      <c r="A23" s="291" t="s">
        <v>206</v>
      </c>
      <c r="B23" s="291" t="s">
        <v>467</v>
      </c>
      <c r="C23" s="291" t="s">
        <v>451</v>
      </c>
      <c r="D23" s="291" t="s">
        <v>468</v>
      </c>
      <c r="E23" s="291" t="s">
        <v>455</v>
      </c>
      <c r="F23" s="297" t="s">
        <v>461</v>
      </c>
      <c r="G23" s="298" t="s">
        <v>469</v>
      </c>
      <c r="H23" s="435"/>
      <c r="I23" s="298"/>
      <c r="J23" s="298"/>
      <c r="K23" s="299">
        <f t="shared" si="0"/>
        <v>0</v>
      </c>
      <c r="L23" s="300"/>
      <c r="M23" s="301"/>
      <c r="N23" s="302"/>
      <c r="O23" s="303"/>
      <c r="P23" s="304">
        <f t="shared" si="4"/>
        <v>0</v>
      </c>
      <c r="Q23" s="306"/>
      <c r="R23" s="307"/>
      <c r="S23" s="307"/>
      <c r="T23" s="304">
        <f t="shared" si="2"/>
        <v>0</v>
      </c>
    </row>
    <row r="24" spans="1:20">
      <c r="A24" s="291" t="s">
        <v>206</v>
      </c>
      <c r="B24" s="291" t="s">
        <v>467</v>
      </c>
      <c r="C24" s="291" t="s">
        <v>451</v>
      </c>
      <c r="D24" s="291" t="s">
        <v>468</v>
      </c>
      <c r="E24" s="291" t="s">
        <v>457</v>
      </c>
      <c r="F24" s="297" t="s">
        <v>461</v>
      </c>
      <c r="G24" s="298" t="s">
        <v>469</v>
      </c>
      <c r="H24" s="435"/>
      <c r="I24" s="298"/>
      <c r="J24" s="298"/>
      <c r="K24" s="299">
        <f t="shared" si="0"/>
        <v>0</v>
      </c>
      <c r="L24" s="300"/>
      <c r="M24" s="301"/>
      <c r="N24" s="302"/>
      <c r="O24" s="303"/>
      <c r="P24" s="304">
        <f t="shared" si="4"/>
        <v>0</v>
      </c>
      <c r="Q24" s="306"/>
      <c r="R24" s="307"/>
      <c r="S24" s="307"/>
      <c r="T24" s="304">
        <f t="shared" si="2"/>
        <v>0</v>
      </c>
    </row>
    <row r="25" spans="1:20">
      <c r="A25" s="291" t="s">
        <v>76</v>
      </c>
      <c r="B25" s="291" t="s">
        <v>470</v>
      </c>
      <c r="C25" s="291" t="s">
        <v>451</v>
      </c>
      <c r="D25" s="538"/>
      <c r="E25" s="291" t="s">
        <v>456</v>
      </c>
      <c r="F25" s="297" t="s">
        <v>465</v>
      </c>
      <c r="G25" s="298"/>
      <c r="H25" s="435"/>
      <c r="I25" s="298"/>
      <c r="J25" s="298"/>
      <c r="K25" s="299">
        <f t="shared" si="0"/>
        <v>0</v>
      </c>
      <c r="L25" s="300"/>
      <c r="M25" s="301"/>
      <c r="N25" s="302"/>
      <c r="O25" s="303"/>
      <c r="P25" s="304">
        <f t="shared" si="4"/>
        <v>0</v>
      </c>
      <c r="Q25" s="306"/>
      <c r="R25" s="307"/>
      <c r="S25" s="307"/>
      <c r="T25" s="304">
        <f t="shared" si="2"/>
        <v>0</v>
      </c>
    </row>
    <row r="26" spans="1:20">
      <c r="A26" s="291" t="s">
        <v>76</v>
      </c>
      <c r="B26" s="291" t="s">
        <v>471</v>
      </c>
      <c r="C26" s="291" t="s">
        <v>451</v>
      </c>
      <c r="D26" s="538"/>
      <c r="E26" s="291" t="s">
        <v>456</v>
      </c>
      <c r="F26" s="297" t="s">
        <v>465</v>
      </c>
      <c r="G26" s="298"/>
      <c r="H26" s="435"/>
      <c r="I26" s="298"/>
      <c r="J26" s="298"/>
      <c r="K26" s="299">
        <f t="shared" si="0"/>
        <v>0</v>
      </c>
      <c r="L26" s="300"/>
      <c r="M26" s="301"/>
      <c r="N26" s="302"/>
      <c r="O26" s="303"/>
      <c r="P26" s="304">
        <f t="shared" si="4"/>
        <v>0</v>
      </c>
      <c r="Q26" s="306"/>
      <c r="R26" s="307"/>
      <c r="S26" s="307"/>
      <c r="T26" s="304">
        <f t="shared" si="2"/>
        <v>0</v>
      </c>
    </row>
    <row r="27" spans="1:20">
      <c r="A27" s="291" t="s">
        <v>104</v>
      </c>
      <c r="B27" s="291" t="s">
        <v>472</v>
      </c>
      <c r="C27" s="291" t="s">
        <v>451</v>
      </c>
      <c r="D27" s="538"/>
      <c r="E27" s="291" t="s">
        <v>456</v>
      </c>
      <c r="F27" s="297" t="s">
        <v>465</v>
      </c>
      <c r="G27" s="298"/>
      <c r="H27" s="435"/>
      <c r="I27" s="298"/>
      <c r="J27" s="298"/>
      <c r="K27" s="299">
        <f t="shared" si="0"/>
        <v>0</v>
      </c>
      <c r="L27" s="300"/>
      <c r="M27" s="301"/>
      <c r="N27" s="302"/>
      <c r="O27" s="303"/>
      <c r="P27" s="304">
        <f t="shared" si="4"/>
        <v>0</v>
      </c>
      <c r="Q27" s="306"/>
      <c r="R27" s="307"/>
      <c r="S27" s="307"/>
      <c r="T27" s="304">
        <f t="shared" si="2"/>
        <v>0</v>
      </c>
    </row>
    <row r="28" spans="1:20">
      <c r="A28" s="291" t="s">
        <v>89</v>
      </c>
      <c r="B28" s="291" t="s">
        <v>473</v>
      </c>
      <c r="C28" s="291" t="s">
        <v>451</v>
      </c>
      <c r="D28" s="538"/>
      <c r="E28" s="291" t="s">
        <v>456</v>
      </c>
      <c r="F28" s="297" t="s">
        <v>465</v>
      </c>
      <c r="G28" s="298"/>
      <c r="H28" s="435"/>
      <c r="I28" s="298"/>
      <c r="J28" s="298"/>
      <c r="K28" s="299">
        <f t="shared" si="0"/>
        <v>0</v>
      </c>
      <c r="L28" s="300"/>
      <c r="M28" s="301"/>
      <c r="N28" s="302"/>
      <c r="O28" s="303"/>
      <c r="P28" s="304">
        <f t="shared" si="4"/>
        <v>0</v>
      </c>
      <c r="Q28" s="306"/>
      <c r="R28" s="307"/>
      <c r="S28" s="307"/>
      <c r="T28" s="304">
        <f t="shared" si="2"/>
        <v>0</v>
      </c>
    </row>
    <row r="29" spans="1:20">
      <c r="A29" s="291" t="s">
        <v>89</v>
      </c>
      <c r="B29" s="291" t="s">
        <v>473</v>
      </c>
      <c r="C29" s="291" t="s">
        <v>451</v>
      </c>
      <c r="D29" s="538"/>
      <c r="E29" s="291" t="s">
        <v>455</v>
      </c>
      <c r="F29" s="297" t="s">
        <v>465</v>
      </c>
      <c r="G29" s="298"/>
      <c r="H29" s="435"/>
      <c r="I29" s="298"/>
      <c r="J29" s="298"/>
      <c r="K29" s="299">
        <f t="shared" si="0"/>
        <v>0</v>
      </c>
      <c r="L29" s="300"/>
      <c r="M29" s="301"/>
      <c r="N29" s="302"/>
      <c r="O29" s="303"/>
      <c r="P29" s="304">
        <f t="shared" si="4"/>
        <v>0</v>
      </c>
      <c r="Q29" s="306"/>
      <c r="R29" s="307"/>
      <c r="S29" s="307"/>
      <c r="T29" s="304">
        <f t="shared" si="2"/>
        <v>0</v>
      </c>
    </row>
    <row r="30" spans="1:20">
      <c r="A30" s="291" t="s">
        <v>104</v>
      </c>
      <c r="B30" s="291" t="s">
        <v>474</v>
      </c>
      <c r="C30" s="291" t="s">
        <v>451</v>
      </c>
      <c r="D30" s="538"/>
      <c r="E30" s="291" t="s">
        <v>455</v>
      </c>
      <c r="F30" s="297" t="s">
        <v>465</v>
      </c>
      <c r="G30" s="298"/>
      <c r="H30" s="435"/>
      <c r="I30" s="298"/>
      <c r="J30" s="298"/>
      <c r="K30" s="299">
        <f t="shared" si="0"/>
        <v>0</v>
      </c>
      <c r="L30" s="300"/>
      <c r="M30" s="301"/>
      <c r="N30" s="302"/>
      <c r="O30" s="303"/>
      <c r="P30" s="304">
        <f t="shared" si="4"/>
        <v>0</v>
      </c>
      <c r="Q30" s="306"/>
      <c r="R30" s="307"/>
      <c r="S30" s="307"/>
      <c r="T30" s="304">
        <f t="shared" si="2"/>
        <v>0</v>
      </c>
    </row>
    <row r="31" spans="1:20">
      <c r="A31" s="291"/>
      <c r="B31" s="291"/>
      <c r="C31" s="291"/>
      <c r="D31" s="291"/>
      <c r="E31" s="291"/>
      <c r="F31" s="297"/>
      <c r="G31" s="298"/>
      <c r="H31" s="435"/>
      <c r="I31" s="298"/>
      <c r="J31" s="298"/>
      <c r="K31" s="299">
        <f t="shared" si="0"/>
        <v>0</v>
      </c>
      <c r="L31" s="300"/>
      <c r="M31" s="301"/>
      <c r="N31" s="302"/>
      <c r="O31" s="303"/>
      <c r="P31" s="304">
        <f t="shared" si="4"/>
        <v>0</v>
      </c>
      <c r="Q31" s="306"/>
      <c r="R31" s="307"/>
      <c r="S31" s="307"/>
      <c r="T31" s="304">
        <f t="shared" si="2"/>
        <v>0</v>
      </c>
    </row>
    <row r="32" spans="1:20">
      <c r="A32" s="291"/>
      <c r="B32" s="291"/>
      <c r="C32" s="291"/>
      <c r="D32" s="291"/>
      <c r="E32" s="291"/>
      <c r="F32" s="297"/>
      <c r="G32" s="298"/>
      <c r="H32" s="435"/>
      <c r="I32" s="298"/>
      <c r="J32" s="298"/>
      <c r="K32" s="299">
        <f t="shared" si="0"/>
        <v>0</v>
      </c>
      <c r="L32" s="300"/>
      <c r="M32" s="301"/>
      <c r="N32" s="302"/>
      <c r="O32" s="303"/>
      <c r="P32" s="304">
        <f t="shared" si="4"/>
        <v>0</v>
      </c>
      <c r="Q32" s="306"/>
      <c r="R32" s="307"/>
      <c r="S32" s="307"/>
      <c r="T32" s="304">
        <f t="shared" si="2"/>
        <v>0</v>
      </c>
    </row>
    <row r="33" spans="1:20">
      <c r="A33" s="291"/>
      <c r="B33" s="291"/>
      <c r="C33" s="291"/>
      <c r="D33" s="291"/>
      <c r="E33" s="291"/>
      <c r="F33" s="297"/>
      <c r="G33" s="298"/>
      <c r="H33" s="435"/>
      <c r="I33" s="298"/>
      <c r="J33" s="298"/>
      <c r="K33" s="299">
        <f t="shared" si="0"/>
        <v>0</v>
      </c>
      <c r="L33" s="300"/>
      <c r="M33" s="301"/>
      <c r="N33" s="302"/>
      <c r="O33" s="303"/>
      <c r="P33" s="304">
        <f t="shared" si="4"/>
        <v>0</v>
      </c>
      <c r="Q33" s="306"/>
      <c r="R33" s="307"/>
      <c r="S33" s="307"/>
      <c r="T33" s="304">
        <f t="shared" si="2"/>
        <v>0</v>
      </c>
    </row>
    <row r="34" spans="1:20">
      <c r="A34" s="291"/>
      <c r="B34" s="291"/>
      <c r="C34" s="291"/>
      <c r="D34" s="291"/>
      <c r="E34" s="291"/>
      <c r="F34" s="297"/>
      <c r="G34" s="298"/>
      <c r="H34" s="435"/>
      <c r="I34" s="298"/>
      <c r="J34" s="298"/>
      <c r="K34" s="299">
        <f t="shared" si="0"/>
        <v>0</v>
      </c>
      <c r="L34" s="300"/>
      <c r="M34" s="301"/>
      <c r="N34" s="302"/>
      <c r="O34" s="303"/>
      <c r="P34" s="304">
        <f t="shared" si="4"/>
        <v>0</v>
      </c>
      <c r="Q34" s="306"/>
      <c r="R34" s="307"/>
      <c r="S34" s="307"/>
      <c r="T34" s="304">
        <f t="shared" si="2"/>
        <v>0</v>
      </c>
    </row>
    <row r="35" spans="1:20">
      <c r="A35" s="291"/>
      <c r="B35" s="291"/>
      <c r="C35" s="291"/>
      <c r="D35" s="291"/>
      <c r="E35" s="291"/>
      <c r="F35" s="297"/>
      <c r="G35" s="298"/>
      <c r="H35" s="435"/>
      <c r="I35" s="298"/>
      <c r="J35" s="298"/>
      <c r="K35" s="299">
        <f t="shared" si="0"/>
        <v>0</v>
      </c>
      <c r="L35" s="300"/>
      <c r="M35" s="301"/>
      <c r="N35" s="302"/>
      <c r="O35" s="303"/>
      <c r="P35" s="304">
        <f t="shared" si="4"/>
        <v>0</v>
      </c>
      <c r="Q35" s="306"/>
      <c r="R35" s="307"/>
      <c r="S35" s="307"/>
      <c r="T35" s="304">
        <f t="shared" si="2"/>
        <v>0</v>
      </c>
    </row>
    <row r="36" spans="1:20">
      <c r="A36" s="291"/>
      <c r="B36" s="291"/>
      <c r="C36" s="291"/>
      <c r="D36" s="291"/>
      <c r="E36" s="291"/>
      <c r="F36" s="297"/>
      <c r="G36" s="298"/>
      <c r="H36" s="435"/>
      <c r="I36" s="298"/>
      <c r="J36" s="298"/>
      <c r="K36" s="299">
        <f t="shared" si="0"/>
        <v>0</v>
      </c>
      <c r="L36" s="300"/>
      <c r="M36" s="301"/>
      <c r="N36" s="302"/>
      <c r="O36" s="303"/>
      <c r="P36" s="304">
        <f t="shared" si="4"/>
        <v>0</v>
      </c>
      <c r="Q36" s="306"/>
      <c r="R36" s="307"/>
      <c r="S36" s="307"/>
      <c r="T36" s="304">
        <f t="shared" si="2"/>
        <v>0</v>
      </c>
    </row>
    <row r="37" spans="1:20">
      <c r="A37" s="291"/>
      <c r="B37" s="291"/>
      <c r="C37" s="291"/>
      <c r="D37" s="291"/>
      <c r="E37" s="291"/>
      <c r="F37" s="297"/>
      <c r="G37" s="298"/>
      <c r="H37" s="435"/>
      <c r="I37" s="298"/>
      <c r="J37" s="298"/>
      <c r="K37" s="299">
        <f t="shared" si="0"/>
        <v>0</v>
      </c>
      <c r="L37" s="300"/>
      <c r="M37" s="301"/>
      <c r="N37" s="302"/>
      <c r="O37" s="303"/>
      <c r="P37" s="304">
        <f t="shared" si="4"/>
        <v>0</v>
      </c>
      <c r="Q37" s="306"/>
      <c r="R37" s="307"/>
      <c r="S37" s="307"/>
      <c r="T37" s="304">
        <f t="shared" si="2"/>
        <v>0</v>
      </c>
    </row>
    <row r="38" spans="1:20">
      <c r="A38" s="291"/>
      <c r="B38" s="291"/>
      <c r="C38" s="291"/>
      <c r="D38" s="291"/>
      <c r="E38" s="291"/>
      <c r="F38" s="297"/>
      <c r="G38" s="298"/>
      <c r="H38" s="435"/>
      <c r="I38" s="298"/>
      <c r="J38" s="298"/>
      <c r="K38" s="299">
        <f t="shared" si="0"/>
        <v>0</v>
      </c>
      <c r="L38" s="300"/>
      <c r="M38" s="301"/>
      <c r="N38" s="302"/>
      <c r="O38" s="303"/>
      <c r="P38" s="304">
        <f t="shared" si="4"/>
        <v>0</v>
      </c>
      <c r="Q38" s="306"/>
      <c r="R38" s="307"/>
      <c r="S38" s="307"/>
      <c r="T38" s="304">
        <f t="shared" si="2"/>
        <v>0</v>
      </c>
    </row>
    <row r="39" spans="1:20">
      <c r="A39" s="291"/>
      <c r="B39" s="291"/>
      <c r="C39" s="291"/>
      <c r="D39" s="291"/>
      <c r="E39" s="291"/>
      <c r="F39" s="297"/>
      <c r="G39" s="298"/>
      <c r="H39" s="435"/>
      <c r="I39" s="298"/>
      <c r="J39" s="298"/>
      <c r="K39" s="299">
        <f t="shared" si="0"/>
        <v>0</v>
      </c>
      <c r="L39" s="300"/>
      <c r="M39" s="301"/>
      <c r="N39" s="302"/>
      <c r="O39" s="303"/>
      <c r="P39" s="304">
        <f t="shared" si="4"/>
        <v>0</v>
      </c>
      <c r="Q39" s="306"/>
      <c r="R39" s="307"/>
      <c r="S39" s="307"/>
      <c r="T39" s="304">
        <f t="shared" si="2"/>
        <v>0</v>
      </c>
    </row>
    <row r="40" spans="1:20">
      <c r="A40" s="291"/>
      <c r="B40" s="291"/>
      <c r="C40" s="291"/>
      <c r="D40" s="291"/>
      <c r="E40" s="291"/>
      <c r="F40" s="297"/>
      <c r="G40" s="298"/>
      <c r="H40" s="435"/>
      <c r="I40" s="298"/>
      <c r="J40" s="298"/>
      <c r="K40" s="299">
        <f t="shared" si="0"/>
        <v>0</v>
      </c>
      <c r="L40" s="300"/>
      <c r="M40" s="301"/>
      <c r="N40" s="302"/>
      <c r="O40" s="303"/>
      <c r="P40" s="304">
        <f t="shared" si="4"/>
        <v>0</v>
      </c>
      <c r="Q40" s="306"/>
      <c r="R40" s="307"/>
      <c r="S40" s="307"/>
      <c r="T40" s="304">
        <f t="shared" si="2"/>
        <v>0</v>
      </c>
    </row>
    <row r="41" spans="1:20">
      <c r="A41" s="291"/>
      <c r="B41" s="291"/>
      <c r="C41" s="291"/>
      <c r="D41" s="291"/>
      <c r="E41" s="291"/>
      <c r="F41" s="297"/>
      <c r="G41" s="298"/>
      <c r="H41" s="435"/>
      <c r="I41" s="298"/>
      <c r="J41" s="298"/>
      <c r="K41" s="299"/>
      <c r="L41" s="300"/>
      <c r="M41" s="301"/>
      <c r="N41" s="302"/>
      <c r="O41" s="303"/>
      <c r="P41" s="304"/>
      <c r="Q41" s="306"/>
      <c r="R41" s="307"/>
      <c r="S41" s="307"/>
      <c r="T41" s="304"/>
    </row>
    <row r="42" spans="1:20">
      <c r="A42" s="308"/>
      <c r="B42" s="291"/>
      <c r="C42" s="291"/>
      <c r="D42" s="291"/>
      <c r="E42" s="291"/>
      <c r="F42" s="297"/>
      <c r="G42" s="297"/>
      <c r="H42" s="292"/>
      <c r="I42" s="298"/>
      <c r="J42" s="298"/>
      <c r="K42" s="299"/>
      <c r="L42" s="300"/>
      <c r="M42" s="301"/>
      <c r="N42" s="302"/>
      <c r="O42" s="303"/>
      <c r="P42" s="304"/>
      <c r="Q42" s="306"/>
      <c r="R42" s="307"/>
      <c r="S42" s="307"/>
      <c r="T42" s="304"/>
    </row>
    <row r="43" spans="1:20">
      <c r="A43" s="309"/>
      <c r="B43" s="309"/>
      <c r="C43" s="309"/>
      <c r="D43" s="310"/>
      <c r="E43" s="311"/>
      <c r="F43" s="311"/>
      <c r="G43" s="311"/>
      <c r="H43" s="311"/>
      <c r="I43" s="311"/>
      <c r="J43" s="311"/>
      <c r="K43" s="311"/>
      <c r="L43" s="312">
        <f t="shared" ref="L43:Q43" si="5">SUM(L7:L42)</f>
        <v>46</v>
      </c>
      <c r="M43" s="313">
        <f t="shared" si="5"/>
        <v>1703</v>
      </c>
      <c r="N43" s="313">
        <f t="shared" si="5"/>
        <v>0</v>
      </c>
      <c r="O43" s="313">
        <f t="shared" si="5"/>
        <v>0</v>
      </c>
      <c r="P43" s="314">
        <f t="shared" si="5"/>
        <v>1703</v>
      </c>
      <c r="Q43" s="314">
        <f t="shared" si="5"/>
        <v>280</v>
      </c>
      <c r="R43" s="314"/>
      <c r="S43" s="314"/>
      <c r="T43" s="314">
        <f>SUM(T7:T42)</f>
        <v>1423</v>
      </c>
    </row>
    <row r="46" spans="1:20">
      <c r="G46" s="315" t="s">
        <v>475</v>
      </c>
      <c r="H46" s="315"/>
      <c r="I46" s="5"/>
      <c r="J46" s="5"/>
      <c r="K46" s="5"/>
    </row>
    <row r="47" spans="1:20">
      <c r="G47" s="316" t="s">
        <v>455</v>
      </c>
      <c r="H47" s="317">
        <f>SUMIF($E$7:$E$42,G47,$K$7:$K$42)</f>
        <v>0</v>
      </c>
      <c r="J47" s="5"/>
      <c r="K47" s="5"/>
    </row>
    <row r="48" spans="1:20">
      <c r="G48" s="316" t="s">
        <v>453</v>
      </c>
      <c r="H48" s="317">
        <f>SUMIF($E$7:$E$42,G48,$K$7:$K$42)</f>
        <v>0</v>
      </c>
      <c r="J48" s="5"/>
      <c r="K48" s="5"/>
    </row>
    <row r="49" spans="7:11">
      <c r="G49" s="316" t="s">
        <v>456</v>
      </c>
      <c r="H49" s="317">
        <f>SUMIF($E$7:$E$42,G49,$K$7:$K$42)</f>
        <v>0</v>
      </c>
      <c r="J49" s="317"/>
      <c r="K49" s="317"/>
    </row>
    <row r="50" spans="7:11">
      <c r="G50" s="316" t="s">
        <v>457</v>
      </c>
      <c r="H50" s="317">
        <f>SUMIF($E$7:$E$42,"Axelle ELUAU",$K$7:$K$42)</f>
        <v>0</v>
      </c>
      <c r="J50" s="317"/>
      <c r="K50" s="5"/>
    </row>
    <row r="51" spans="7:11">
      <c r="G51" s="316" t="s">
        <v>15</v>
      </c>
      <c r="H51" s="317">
        <f>SUM(H49:H50)</f>
        <v>0</v>
      </c>
      <c r="J51" s="317"/>
    </row>
    <row r="53" spans="7:11">
      <c r="H53" s="78"/>
    </row>
    <row r="54" spans="7:11">
      <c r="G54" s="316" t="s">
        <v>476</v>
      </c>
      <c r="H54" s="317">
        <f>SUMIF($C$7:$C$42,"Niveau 1",$K$7:$K$42)</f>
        <v>0</v>
      </c>
    </row>
    <row r="55" spans="7:11">
      <c r="G55" s="316" t="s">
        <v>477</v>
      </c>
      <c r="H55" s="78">
        <f>COUNTIF(C7:C42,"Niveau 1")</f>
        <v>23</v>
      </c>
    </row>
    <row r="56" spans="7:11">
      <c r="G56" s="316" t="s">
        <v>478</v>
      </c>
      <c r="H56" s="318">
        <f>H54/H55</f>
        <v>0</v>
      </c>
    </row>
  </sheetData>
  <autoFilter ref="A6:WVV40" xr:uid="{E7AE4A5A-351E-4554-9F04-7AB9EA1EFAF2}"/>
  <mergeCells count="2">
    <mergeCell ref="A1:A3"/>
    <mergeCell ref="B1:T3"/>
  </mergeCells>
  <phoneticPr fontId="53" type="noConversion"/>
  <pageMargins left="0.70866141732283472" right="0.70866141732283472" top="0.74803149606299213" bottom="0.74803149606299213" header="0.31496062992125984" footer="0.31496062992125984"/>
  <pageSetup paperSize="9" scale="46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0C25E-319B-469F-9584-C68B257C6DA1}">
  <sheetPr>
    <tabColor rgb="FFFC9EA5"/>
    <pageSetUpPr fitToPage="1"/>
  </sheetPr>
  <dimension ref="A1:O25"/>
  <sheetViews>
    <sheetView showGridLines="0" zoomScale="85" zoomScaleNormal="85" workbookViewId="0">
      <pane ySplit="3" topLeftCell="A4" activePane="bottomLeft" state="frozen"/>
      <selection pane="bottomLeft" activeCell="H31" sqref="H31"/>
    </sheetView>
  </sheetViews>
  <sheetFormatPr defaultColWidth="11.42578125" defaultRowHeight="15"/>
  <cols>
    <col min="1" max="1" width="18.140625" customWidth="1"/>
    <col min="2" max="15" width="18.7109375" customWidth="1"/>
    <col min="246" max="246" width="18.140625" customWidth="1"/>
    <col min="247" max="247" width="46.140625" customWidth="1"/>
    <col min="248" max="248" width="10" customWidth="1"/>
    <col min="249" max="249" width="12.42578125" customWidth="1"/>
    <col min="250" max="250" width="16.140625" customWidth="1"/>
    <col min="251" max="251" width="25.28515625" customWidth="1"/>
    <col min="252" max="253" width="13.7109375" customWidth="1"/>
    <col min="254" max="254" width="12.140625" customWidth="1"/>
    <col min="255" max="255" width="9.7109375" customWidth="1"/>
    <col min="256" max="258" width="12.140625" customWidth="1"/>
    <col min="259" max="259" width="0" hidden="1" customWidth="1"/>
    <col min="260" max="265" width="12.140625" customWidth="1"/>
    <col min="502" max="502" width="18.140625" customWidth="1"/>
    <col min="503" max="503" width="46.140625" customWidth="1"/>
    <col min="504" max="504" width="10" customWidth="1"/>
    <col min="505" max="505" width="12.42578125" customWidth="1"/>
    <col min="506" max="506" width="16.140625" customWidth="1"/>
    <col min="507" max="507" width="25.28515625" customWidth="1"/>
    <col min="508" max="509" width="13.7109375" customWidth="1"/>
    <col min="510" max="510" width="12.140625" customWidth="1"/>
    <col min="511" max="511" width="9.7109375" customWidth="1"/>
    <col min="512" max="514" width="12.140625" customWidth="1"/>
    <col min="515" max="515" width="0" hidden="1" customWidth="1"/>
    <col min="516" max="521" width="12.140625" customWidth="1"/>
    <col min="758" max="758" width="18.140625" customWidth="1"/>
    <col min="759" max="759" width="46.140625" customWidth="1"/>
    <col min="760" max="760" width="10" customWidth="1"/>
    <col min="761" max="761" width="12.42578125" customWidth="1"/>
    <col min="762" max="762" width="16.140625" customWidth="1"/>
    <col min="763" max="763" width="25.28515625" customWidth="1"/>
    <col min="764" max="765" width="13.7109375" customWidth="1"/>
    <col min="766" max="766" width="12.140625" customWidth="1"/>
    <col min="767" max="767" width="9.7109375" customWidth="1"/>
    <col min="768" max="770" width="12.140625" customWidth="1"/>
    <col min="771" max="771" width="0" hidden="1" customWidth="1"/>
    <col min="772" max="777" width="12.140625" customWidth="1"/>
    <col min="1014" max="1014" width="18.140625" customWidth="1"/>
    <col min="1015" max="1015" width="46.140625" customWidth="1"/>
    <col min="1016" max="1016" width="10" customWidth="1"/>
    <col min="1017" max="1017" width="12.42578125" customWidth="1"/>
    <col min="1018" max="1018" width="16.140625" customWidth="1"/>
    <col min="1019" max="1019" width="25.28515625" customWidth="1"/>
    <col min="1020" max="1021" width="13.7109375" customWidth="1"/>
    <col min="1022" max="1022" width="12.140625" customWidth="1"/>
    <col min="1023" max="1023" width="9.7109375" customWidth="1"/>
    <col min="1024" max="1026" width="12.140625" customWidth="1"/>
    <col min="1027" max="1027" width="0" hidden="1" customWidth="1"/>
    <col min="1028" max="1033" width="12.140625" customWidth="1"/>
    <col min="1270" max="1270" width="18.140625" customWidth="1"/>
    <col min="1271" max="1271" width="46.140625" customWidth="1"/>
    <col min="1272" max="1272" width="10" customWidth="1"/>
    <col min="1273" max="1273" width="12.42578125" customWidth="1"/>
    <col min="1274" max="1274" width="16.140625" customWidth="1"/>
    <col min="1275" max="1275" width="25.28515625" customWidth="1"/>
    <col min="1276" max="1277" width="13.7109375" customWidth="1"/>
    <col min="1278" max="1278" width="12.140625" customWidth="1"/>
    <col min="1279" max="1279" width="9.7109375" customWidth="1"/>
    <col min="1280" max="1282" width="12.140625" customWidth="1"/>
    <col min="1283" max="1283" width="0" hidden="1" customWidth="1"/>
    <col min="1284" max="1289" width="12.140625" customWidth="1"/>
    <col min="1526" max="1526" width="18.140625" customWidth="1"/>
    <col min="1527" max="1527" width="46.140625" customWidth="1"/>
    <col min="1528" max="1528" width="10" customWidth="1"/>
    <col min="1529" max="1529" width="12.42578125" customWidth="1"/>
    <col min="1530" max="1530" width="16.140625" customWidth="1"/>
    <col min="1531" max="1531" width="25.28515625" customWidth="1"/>
    <col min="1532" max="1533" width="13.7109375" customWidth="1"/>
    <col min="1534" max="1534" width="12.140625" customWidth="1"/>
    <col min="1535" max="1535" width="9.7109375" customWidth="1"/>
    <col min="1536" max="1538" width="12.140625" customWidth="1"/>
    <col min="1539" max="1539" width="0" hidden="1" customWidth="1"/>
    <col min="1540" max="1545" width="12.140625" customWidth="1"/>
    <col min="1782" max="1782" width="18.140625" customWidth="1"/>
    <col min="1783" max="1783" width="46.140625" customWidth="1"/>
    <col min="1784" max="1784" width="10" customWidth="1"/>
    <col min="1785" max="1785" width="12.42578125" customWidth="1"/>
    <col min="1786" max="1786" width="16.140625" customWidth="1"/>
    <col min="1787" max="1787" width="25.28515625" customWidth="1"/>
    <col min="1788" max="1789" width="13.7109375" customWidth="1"/>
    <col min="1790" max="1790" width="12.140625" customWidth="1"/>
    <col min="1791" max="1791" width="9.7109375" customWidth="1"/>
    <col min="1792" max="1794" width="12.140625" customWidth="1"/>
    <col min="1795" max="1795" width="0" hidden="1" customWidth="1"/>
    <col min="1796" max="1801" width="12.140625" customWidth="1"/>
    <col min="2038" max="2038" width="18.140625" customWidth="1"/>
    <col min="2039" max="2039" width="46.140625" customWidth="1"/>
    <col min="2040" max="2040" width="10" customWidth="1"/>
    <col min="2041" max="2041" width="12.42578125" customWidth="1"/>
    <col min="2042" max="2042" width="16.140625" customWidth="1"/>
    <col min="2043" max="2043" width="25.28515625" customWidth="1"/>
    <col min="2044" max="2045" width="13.7109375" customWidth="1"/>
    <col min="2046" max="2046" width="12.140625" customWidth="1"/>
    <col min="2047" max="2047" width="9.7109375" customWidth="1"/>
    <col min="2048" max="2050" width="12.140625" customWidth="1"/>
    <col min="2051" max="2051" width="0" hidden="1" customWidth="1"/>
    <col min="2052" max="2057" width="12.140625" customWidth="1"/>
    <col min="2294" max="2294" width="18.140625" customWidth="1"/>
    <col min="2295" max="2295" width="46.140625" customWidth="1"/>
    <col min="2296" max="2296" width="10" customWidth="1"/>
    <col min="2297" max="2297" width="12.42578125" customWidth="1"/>
    <col min="2298" max="2298" width="16.140625" customWidth="1"/>
    <col min="2299" max="2299" width="25.28515625" customWidth="1"/>
    <col min="2300" max="2301" width="13.7109375" customWidth="1"/>
    <col min="2302" max="2302" width="12.140625" customWidth="1"/>
    <col min="2303" max="2303" width="9.7109375" customWidth="1"/>
    <col min="2304" max="2306" width="12.140625" customWidth="1"/>
    <col min="2307" max="2307" width="0" hidden="1" customWidth="1"/>
    <col min="2308" max="2313" width="12.140625" customWidth="1"/>
    <col min="2550" max="2550" width="18.140625" customWidth="1"/>
    <col min="2551" max="2551" width="46.140625" customWidth="1"/>
    <col min="2552" max="2552" width="10" customWidth="1"/>
    <col min="2553" max="2553" width="12.42578125" customWidth="1"/>
    <col min="2554" max="2554" width="16.140625" customWidth="1"/>
    <col min="2555" max="2555" width="25.28515625" customWidth="1"/>
    <col min="2556" max="2557" width="13.7109375" customWidth="1"/>
    <col min="2558" max="2558" width="12.140625" customWidth="1"/>
    <col min="2559" max="2559" width="9.7109375" customWidth="1"/>
    <col min="2560" max="2562" width="12.140625" customWidth="1"/>
    <col min="2563" max="2563" width="0" hidden="1" customWidth="1"/>
    <col min="2564" max="2569" width="12.140625" customWidth="1"/>
    <col min="2806" max="2806" width="18.140625" customWidth="1"/>
    <col min="2807" max="2807" width="46.140625" customWidth="1"/>
    <col min="2808" max="2808" width="10" customWidth="1"/>
    <col min="2809" max="2809" width="12.42578125" customWidth="1"/>
    <col min="2810" max="2810" width="16.140625" customWidth="1"/>
    <col min="2811" max="2811" width="25.28515625" customWidth="1"/>
    <col min="2812" max="2813" width="13.7109375" customWidth="1"/>
    <col min="2814" max="2814" width="12.140625" customWidth="1"/>
    <col min="2815" max="2815" width="9.7109375" customWidth="1"/>
    <col min="2816" max="2818" width="12.140625" customWidth="1"/>
    <col min="2819" max="2819" width="0" hidden="1" customWidth="1"/>
    <col min="2820" max="2825" width="12.140625" customWidth="1"/>
    <col min="3062" max="3062" width="18.140625" customWidth="1"/>
    <col min="3063" max="3063" width="46.140625" customWidth="1"/>
    <col min="3064" max="3064" width="10" customWidth="1"/>
    <col min="3065" max="3065" width="12.42578125" customWidth="1"/>
    <col min="3066" max="3066" width="16.140625" customWidth="1"/>
    <col min="3067" max="3067" width="25.28515625" customWidth="1"/>
    <col min="3068" max="3069" width="13.7109375" customWidth="1"/>
    <col min="3070" max="3070" width="12.140625" customWidth="1"/>
    <col min="3071" max="3071" width="9.7109375" customWidth="1"/>
    <col min="3072" max="3074" width="12.140625" customWidth="1"/>
    <col min="3075" max="3075" width="0" hidden="1" customWidth="1"/>
    <col min="3076" max="3081" width="12.140625" customWidth="1"/>
    <col min="3318" max="3318" width="18.140625" customWidth="1"/>
    <col min="3319" max="3319" width="46.140625" customWidth="1"/>
    <col min="3320" max="3320" width="10" customWidth="1"/>
    <col min="3321" max="3321" width="12.42578125" customWidth="1"/>
    <col min="3322" max="3322" width="16.140625" customWidth="1"/>
    <col min="3323" max="3323" width="25.28515625" customWidth="1"/>
    <col min="3324" max="3325" width="13.7109375" customWidth="1"/>
    <col min="3326" max="3326" width="12.140625" customWidth="1"/>
    <col min="3327" max="3327" width="9.7109375" customWidth="1"/>
    <col min="3328" max="3330" width="12.140625" customWidth="1"/>
    <col min="3331" max="3331" width="0" hidden="1" customWidth="1"/>
    <col min="3332" max="3337" width="12.140625" customWidth="1"/>
    <col min="3574" max="3574" width="18.140625" customWidth="1"/>
    <col min="3575" max="3575" width="46.140625" customWidth="1"/>
    <col min="3576" max="3576" width="10" customWidth="1"/>
    <col min="3577" max="3577" width="12.42578125" customWidth="1"/>
    <col min="3578" max="3578" width="16.140625" customWidth="1"/>
    <col min="3579" max="3579" width="25.28515625" customWidth="1"/>
    <col min="3580" max="3581" width="13.7109375" customWidth="1"/>
    <col min="3582" max="3582" width="12.140625" customWidth="1"/>
    <col min="3583" max="3583" width="9.7109375" customWidth="1"/>
    <col min="3584" max="3586" width="12.140625" customWidth="1"/>
    <col min="3587" max="3587" width="0" hidden="1" customWidth="1"/>
    <col min="3588" max="3593" width="12.140625" customWidth="1"/>
    <col min="3830" max="3830" width="18.140625" customWidth="1"/>
    <col min="3831" max="3831" width="46.140625" customWidth="1"/>
    <col min="3832" max="3832" width="10" customWidth="1"/>
    <col min="3833" max="3833" width="12.42578125" customWidth="1"/>
    <col min="3834" max="3834" width="16.140625" customWidth="1"/>
    <col min="3835" max="3835" width="25.28515625" customWidth="1"/>
    <col min="3836" max="3837" width="13.7109375" customWidth="1"/>
    <col min="3838" max="3838" width="12.140625" customWidth="1"/>
    <col min="3839" max="3839" width="9.7109375" customWidth="1"/>
    <col min="3840" max="3842" width="12.140625" customWidth="1"/>
    <col min="3843" max="3843" width="0" hidden="1" customWidth="1"/>
    <col min="3844" max="3849" width="12.140625" customWidth="1"/>
    <col min="4086" max="4086" width="18.140625" customWidth="1"/>
    <col min="4087" max="4087" width="46.140625" customWidth="1"/>
    <col min="4088" max="4088" width="10" customWidth="1"/>
    <col min="4089" max="4089" width="12.42578125" customWidth="1"/>
    <col min="4090" max="4090" width="16.140625" customWidth="1"/>
    <col min="4091" max="4091" width="25.28515625" customWidth="1"/>
    <col min="4092" max="4093" width="13.7109375" customWidth="1"/>
    <col min="4094" max="4094" width="12.140625" customWidth="1"/>
    <col min="4095" max="4095" width="9.7109375" customWidth="1"/>
    <col min="4096" max="4098" width="12.140625" customWidth="1"/>
    <col min="4099" max="4099" width="0" hidden="1" customWidth="1"/>
    <col min="4100" max="4105" width="12.140625" customWidth="1"/>
    <col min="4342" max="4342" width="18.140625" customWidth="1"/>
    <col min="4343" max="4343" width="46.140625" customWidth="1"/>
    <col min="4344" max="4344" width="10" customWidth="1"/>
    <col min="4345" max="4345" width="12.42578125" customWidth="1"/>
    <col min="4346" max="4346" width="16.140625" customWidth="1"/>
    <col min="4347" max="4347" width="25.28515625" customWidth="1"/>
    <col min="4348" max="4349" width="13.7109375" customWidth="1"/>
    <col min="4350" max="4350" width="12.140625" customWidth="1"/>
    <col min="4351" max="4351" width="9.7109375" customWidth="1"/>
    <col min="4352" max="4354" width="12.140625" customWidth="1"/>
    <col min="4355" max="4355" width="0" hidden="1" customWidth="1"/>
    <col min="4356" max="4361" width="12.140625" customWidth="1"/>
    <col min="4598" max="4598" width="18.140625" customWidth="1"/>
    <col min="4599" max="4599" width="46.140625" customWidth="1"/>
    <col min="4600" max="4600" width="10" customWidth="1"/>
    <col min="4601" max="4601" width="12.42578125" customWidth="1"/>
    <col min="4602" max="4602" width="16.140625" customWidth="1"/>
    <col min="4603" max="4603" width="25.28515625" customWidth="1"/>
    <col min="4604" max="4605" width="13.7109375" customWidth="1"/>
    <col min="4606" max="4606" width="12.140625" customWidth="1"/>
    <col min="4607" max="4607" width="9.7109375" customWidth="1"/>
    <col min="4608" max="4610" width="12.140625" customWidth="1"/>
    <col min="4611" max="4611" width="0" hidden="1" customWidth="1"/>
    <col min="4612" max="4617" width="12.140625" customWidth="1"/>
    <col min="4854" max="4854" width="18.140625" customWidth="1"/>
    <col min="4855" max="4855" width="46.140625" customWidth="1"/>
    <col min="4856" max="4856" width="10" customWidth="1"/>
    <col min="4857" max="4857" width="12.42578125" customWidth="1"/>
    <col min="4858" max="4858" width="16.140625" customWidth="1"/>
    <col min="4859" max="4859" width="25.28515625" customWidth="1"/>
    <col min="4860" max="4861" width="13.7109375" customWidth="1"/>
    <col min="4862" max="4862" width="12.140625" customWidth="1"/>
    <col min="4863" max="4863" width="9.7109375" customWidth="1"/>
    <col min="4864" max="4866" width="12.140625" customWidth="1"/>
    <col min="4867" max="4867" width="0" hidden="1" customWidth="1"/>
    <col min="4868" max="4873" width="12.140625" customWidth="1"/>
    <col min="5110" max="5110" width="18.140625" customWidth="1"/>
    <col min="5111" max="5111" width="46.140625" customWidth="1"/>
    <col min="5112" max="5112" width="10" customWidth="1"/>
    <col min="5113" max="5113" width="12.42578125" customWidth="1"/>
    <col min="5114" max="5114" width="16.140625" customWidth="1"/>
    <col min="5115" max="5115" width="25.28515625" customWidth="1"/>
    <col min="5116" max="5117" width="13.7109375" customWidth="1"/>
    <col min="5118" max="5118" width="12.140625" customWidth="1"/>
    <col min="5119" max="5119" width="9.7109375" customWidth="1"/>
    <col min="5120" max="5122" width="12.140625" customWidth="1"/>
    <col min="5123" max="5123" width="0" hidden="1" customWidth="1"/>
    <col min="5124" max="5129" width="12.140625" customWidth="1"/>
    <col min="5366" max="5366" width="18.140625" customWidth="1"/>
    <col min="5367" max="5367" width="46.140625" customWidth="1"/>
    <col min="5368" max="5368" width="10" customWidth="1"/>
    <col min="5369" max="5369" width="12.42578125" customWidth="1"/>
    <col min="5370" max="5370" width="16.140625" customWidth="1"/>
    <col min="5371" max="5371" width="25.28515625" customWidth="1"/>
    <col min="5372" max="5373" width="13.7109375" customWidth="1"/>
    <col min="5374" max="5374" width="12.140625" customWidth="1"/>
    <col min="5375" max="5375" width="9.7109375" customWidth="1"/>
    <col min="5376" max="5378" width="12.140625" customWidth="1"/>
    <col min="5379" max="5379" width="0" hidden="1" customWidth="1"/>
    <col min="5380" max="5385" width="12.140625" customWidth="1"/>
    <col min="5622" max="5622" width="18.140625" customWidth="1"/>
    <col min="5623" max="5623" width="46.140625" customWidth="1"/>
    <col min="5624" max="5624" width="10" customWidth="1"/>
    <col min="5625" max="5625" width="12.42578125" customWidth="1"/>
    <col min="5626" max="5626" width="16.140625" customWidth="1"/>
    <col min="5627" max="5627" width="25.28515625" customWidth="1"/>
    <col min="5628" max="5629" width="13.7109375" customWidth="1"/>
    <col min="5630" max="5630" width="12.140625" customWidth="1"/>
    <col min="5631" max="5631" width="9.7109375" customWidth="1"/>
    <col min="5632" max="5634" width="12.140625" customWidth="1"/>
    <col min="5635" max="5635" width="0" hidden="1" customWidth="1"/>
    <col min="5636" max="5641" width="12.140625" customWidth="1"/>
    <col min="5878" max="5878" width="18.140625" customWidth="1"/>
    <col min="5879" max="5879" width="46.140625" customWidth="1"/>
    <col min="5880" max="5880" width="10" customWidth="1"/>
    <col min="5881" max="5881" width="12.42578125" customWidth="1"/>
    <col min="5882" max="5882" width="16.140625" customWidth="1"/>
    <col min="5883" max="5883" width="25.28515625" customWidth="1"/>
    <col min="5884" max="5885" width="13.7109375" customWidth="1"/>
    <col min="5886" max="5886" width="12.140625" customWidth="1"/>
    <col min="5887" max="5887" width="9.7109375" customWidth="1"/>
    <col min="5888" max="5890" width="12.140625" customWidth="1"/>
    <col min="5891" max="5891" width="0" hidden="1" customWidth="1"/>
    <col min="5892" max="5897" width="12.140625" customWidth="1"/>
    <col min="6134" max="6134" width="18.140625" customWidth="1"/>
    <col min="6135" max="6135" width="46.140625" customWidth="1"/>
    <col min="6136" max="6136" width="10" customWidth="1"/>
    <col min="6137" max="6137" width="12.42578125" customWidth="1"/>
    <col min="6138" max="6138" width="16.140625" customWidth="1"/>
    <col min="6139" max="6139" width="25.28515625" customWidth="1"/>
    <col min="6140" max="6141" width="13.7109375" customWidth="1"/>
    <col min="6142" max="6142" width="12.140625" customWidth="1"/>
    <col min="6143" max="6143" width="9.7109375" customWidth="1"/>
    <col min="6144" max="6146" width="12.140625" customWidth="1"/>
    <col min="6147" max="6147" width="0" hidden="1" customWidth="1"/>
    <col min="6148" max="6153" width="12.140625" customWidth="1"/>
    <col min="6390" max="6390" width="18.140625" customWidth="1"/>
    <col min="6391" max="6391" width="46.140625" customWidth="1"/>
    <col min="6392" max="6392" width="10" customWidth="1"/>
    <col min="6393" max="6393" width="12.42578125" customWidth="1"/>
    <col min="6394" max="6394" width="16.140625" customWidth="1"/>
    <col min="6395" max="6395" width="25.28515625" customWidth="1"/>
    <col min="6396" max="6397" width="13.7109375" customWidth="1"/>
    <col min="6398" max="6398" width="12.140625" customWidth="1"/>
    <col min="6399" max="6399" width="9.7109375" customWidth="1"/>
    <col min="6400" max="6402" width="12.140625" customWidth="1"/>
    <col min="6403" max="6403" width="0" hidden="1" customWidth="1"/>
    <col min="6404" max="6409" width="12.140625" customWidth="1"/>
    <col min="6646" max="6646" width="18.140625" customWidth="1"/>
    <col min="6647" max="6647" width="46.140625" customWidth="1"/>
    <col min="6648" max="6648" width="10" customWidth="1"/>
    <col min="6649" max="6649" width="12.42578125" customWidth="1"/>
    <col min="6650" max="6650" width="16.140625" customWidth="1"/>
    <col min="6651" max="6651" width="25.28515625" customWidth="1"/>
    <col min="6652" max="6653" width="13.7109375" customWidth="1"/>
    <col min="6654" max="6654" width="12.140625" customWidth="1"/>
    <col min="6655" max="6655" width="9.7109375" customWidth="1"/>
    <col min="6656" max="6658" width="12.140625" customWidth="1"/>
    <col min="6659" max="6659" width="0" hidden="1" customWidth="1"/>
    <col min="6660" max="6665" width="12.140625" customWidth="1"/>
    <col min="6902" max="6902" width="18.140625" customWidth="1"/>
    <col min="6903" max="6903" width="46.140625" customWidth="1"/>
    <col min="6904" max="6904" width="10" customWidth="1"/>
    <col min="6905" max="6905" width="12.42578125" customWidth="1"/>
    <col min="6906" max="6906" width="16.140625" customWidth="1"/>
    <col min="6907" max="6907" width="25.28515625" customWidth="1"/>
    <col min="6908" max="6909" width="13.7109375" customWidth="1"/>
    <col min="6910" max="6910" width="12.140625" customWidth="1"/>
    <col min="6911" max="6911" width="9.7109375" customWidth="1"/>
    <col min="6912" max="6914" width="12.140625" customWidth="1"/>
    <col min="6915" max="6915" width="0" hidden="1" customWidth="1"/>
    <col min="6916" max="6921" width="12.140625" customWidth="1"/>
    <col min="7158" max="7158" width="18.140625" customWidth="1"/>
    <col min="7159" max="7159" width="46.140625" customWidth="1"/>
    <col min="7160" max="7160" width="10" customWidth="1"/>
    <col min="7161" max="7161" width="12.42578125" customWidth="1"/>
    <col min="7162" max="7162" width="16.140625" customWidth="1"/>
    <col min="7163" max="7163" width="25.28515625" customWidth="1"/>
    <col min="7164" max="7165" width="13.7109375" customWidth="1"/>
    <col min="7166" max="7166" width="12.140625" customWidth="1"/>
    <col min="7167" max="7167" width="9.7109375" customWidth="1"/>
    <col min="7168" max="7170" width="12.140625" customWidth="1"/>
    <col min="7171" max="7171" width="0" hidden="1" customWidth="1"/>
    <col min="7172" max="7177" width="12.140625" customWidth="1"/>
    <col min="7414" max="7414" width="18.140625" customWidth="1"/>
    <col min="7415" max="7415" width="46.140625" customWidth="1"/>
    <col min="7416" max="7416" width="10" customWidth="1"/>
    <col min="7417" max="7417" width="12.42578125" customWidth="1"/>
    <col min="7418" max="7418" width="16.140625" customWidth="1"/>
    <col min="7419" max="7419" width="25.28515625" customWidth="1"/>
    <col min="7420" max="7421" width="13.7109375" customWidth="1"/>
    <col min="7422" max="7422" width="12.140625" customWidth="1"/>
    <col min="7423" max="7423" width="9.7109375" customWidth="1"/>
    <col min="7424" max="7426" width="12.140625" customWidth="1"/>
    <col min="7427" max="7427" width="0" hidden="1" customWidth="1"/>
    <col min="7428" max="7433" width="12.140625" customWidth="1"/>
    <col min="7670" max="7670" width="18.140625" customWidth="1"/>
    <col min="7671" max="7671" width="46.140625" customWidth="1"/>
    <col min="7672" max="7672" width="10" customWidth="1"/>
    <col min="7673" max="7673" width="12.42578125" customWidth="1"/>
    <col min="7674" max="7674" width="16.140625" customWidth="1"/>
    <col min="7675" max="7675" width="25.28515625" customWidth="1"/>
    <col min="7676" max="7677" width="13.7109375" customWidth="1"/>
    <col min="7678" max="7678" width="12.140625" customWidth="1"/>
    <col min="7679" max="7679" width="9.7109375" customWidth="1"/>
    <col min="7680" max="7682" width="12.140625" customWidth="1"/>
    <col min="7683" max="7683" width="0" hidden="1" customWidth="1"/>
    <col min="7684" max="7689" width="12.140625" customWidth="1"/>
    <col min="7926" max="7926" width="18.140625" customWidth="1"/>
    <col min="7927" max="7927" width="46.140625" customWidth="1"/>
    <col min="7928" max="7928" width="10" customWidth="1"/>
    <col min="7929" max="7929" width="12.42578125" customWidth="1"/>
    <col min="7930" max="7930" width="16.140625" customWidth="1"/>
    <col min="7931" max="7931" width="25.28515625" customWidth="1"/>
    <col min="7932" max="7933" width="13.7109375" customWidth="1"/>
    <col min="7934" max="7934" width="12.140625" customWidth="1"/>
    <col min="7935" max="7935" width="9.7109375" customWidth="1"/>
    <col min="7936" max="7938" width="12.140625" customWidth="1"/>
    <col min="7939" max="7939" width="0" hidden="1" customWidth="1"/>
    <col min="7940" max="7945" width="12.140625" customWidth="1"/>
    <col min="8182" max="8182" width="18.140625" customWidth="1"/>
    <col min="8183" max="8183" width="46.140625" customWidth="1"/>
    <col min="8184" max="8184" width="10" customWidth="1"/>
    <col min="8185" max="8185" width="12.42578125" customWidth="1"/>
    <col min="8186" max="8186" width="16.140625" customWidth="1"/>
    <col min="8187" max="8187" width="25.28515625" customWidth="1"/>
    <col min="8188" max="8189" width="13.7109375" customWidth="1"/>
    <col min="8190" max="8190" width="12.140625" customWidth="1"/>
    <col min="8191" max="8191" width="9.7109375" customWidth="1"/>
    <col min="8192" max="8194" width="12.140625" customWidth="1"/>
    <col min="8195" max="8195" width="0" hidden="1" customWidth="1"/>
    <col min="8196" max="8201" width="12.140625" customWidth="1"/>
    <col min="8438" max="8438" width="18.140625" customWidth="1"/>
    <col min="8439" max="8439" width="46.140625" customWidth="1"/>
    <col min="8440" max="8440" width="10" customWidth="1"/>
    <col min="8441" max="8441" width="12.42578125" customWidth="1"/>
    <col min="8442" max="8442" width="16.140625" customWidth="1"/>
    <col min="8443" max="8443" width="25.28515625" customWidth="1"/>
    <col min="8444" max="8445" width="13.7109375" customWidth="1"/>
    <col min="8446" max="8446" width="12.140625" customWidth="1"/>
    <col min="8447" max="8447" width="9.7109375" customWidth="1"/>
    <col min="8448" max="8450" width="12.140625" customWidth="1"/>
    <col min="8451" max="8451" width="0" hidden="1" customWidth="1"/>
    <col min="8452" max="8457" width="12.140625" customWidth="1"/>
    <col min="8694" max="8694" width="18.140625" customWidth="1"/>
    <col min="8695" max="8695" width="46.140625" customWidth="1"/>
    <col min="8696" max="8696" width="10" customWidth="1"/>
    <col min="8697" max="8697" width="12.42578125" customWidth="1"/>
    <col min="8698" max="8698" width="16.140625" customWidth="1"/>
    <col min="8699" max="8699" width="25.28515625" customWidth="1"/>
    <col min="8700" max="8701" width="13.7109375" customWidth="1"/>
    <col min="8702" max="8702" width="12.140625" customWidth="1"/>
    <col min="8703" max="8703" width="9.7109375" customWidth="1"/>
    <col min="8704" max="8706" width="12.140625" customWidth="1"/>
    <col min="8707" max="8707" width="0" hidden="1" customWidth="1"/>
    <col min="8708" max="8713" width="12.140625" customWidth="1"/>
    <col min="8950" max="8950" width="18.140625" customWidth="1"/>
    <col min="8951" max="8951" width="46.140625" customWidth="1"/>
    <col min="8952" max="8952" width="10" customWidth="1"/>
    <col min="8953" max="8953" width="12.42578125" customWidth="1"/>
    <col min="8954" max="8954" width="16.140625" customWidth="1"/>
    <col min="8955" max="8955" width="25.28515625" customWidth="1"/>
    <col min="8956" max="8957" width="13.7109375" customWidth="1"/>
    <col min="8958" max="8958" width="12.140625" customWidth="1"/>
    <col min="8959" max="8959" width="9.7109375" customWidth="1"/>
    <col min="8960" max="8962" width="12.140625" customWidth="1"/>
    <col min="8963" max="8963" width="0" hidden="1" customWidth="1"/>
    <col min="8964" max="8969" width="12.140625" customWidth="1"/>
    <col min="9206" max="9206" width="18.140625" customWidth="1"/>
    <col min="9207" max="9207" width="46.140625" customWidth="1"/>
    <col min="9208" max="9208" width="10" customWidth="1"/>
    <col min="9209" max="9209" width="12.42578125" customWidth="1"/>
    <col min="9210" max="9210" width="16.140625" customWidth="1"/>
    <col min="9211" max="9211" width="25.28515625" customWidth="1"/>
    <col min="9212" max="9213" width="13.7109375" customWidth="1"/>
    <col min="9214" max="9214" width="12.140625" customWidth="1"/>
    <col min="9215" max="9215" width="9.7109375" customWidth="1"/>
    <col min="9216" max="9218" width="12.140625" customWidth="1"/>
    <col min="9219" max="9219" width="0" hidden="1" customWidth="1"/>
    <col min="9220" max="9225" width="12.140625" customWidth="1"/>
    <col min="9462" max="9462" width="18.140625" customWidth="1"/>
    <col min="9463" max="9463" width="46.140625" customWidth="1"/>
    <col min="9464" max="9464" width="10" customWidth="1"/>
    <col min="9465" max="9465" width="12.42578125" customWidth="1"/>
    <col min="9466" max="9466" width="16.140625" customWidth="1"/>
    <col min="9467" max="9467" width="25.28515625" customWidth="1"/>
    <col min="9468" max="9469" width="13.7109375" customWidth="1"/>
    <col min="9470" max="9470" width="12.140625" customWidth="1"/>
    <col min="9471" max="9471" width="9.7109375" customWidth="1"/>
    <col min="9472" max="9474" width="12.140625" customWidth="1"/>
    <col min="9475" max="9475" width="0" hidden="1" customWidth="1"/>
    <col min="9476" max="9481" width="12.140625" customWidth="1"/>
    <col min="9718" max="9718" width="18.140625" customWidth="1"/>
    <col min="9719" max="9719" width="46.140625" customWidth="1"/>
    <col min="9720" max="9720" width="10" customWidth="1"/>
    <col min="9721" max="9721" width="12.42578125" customWidth="1"/>
    <col min="9722" max="9722" width="16.140625" customWidth="1"/>
    <col min="9723" max="9723" width="25.28515625" customWidth="1"/>
    <col min="9724" max="9725" width="13.7109375" customWidth="1"/>
    <col min="9726" max="9726" width="12.140625" customWidth="1"/>
    <col min="9727" max="9727" width="9.7109375" customWidth="1"/>
    <col min="9728" max="9730" width="12.140625" customWidth="1"/>
    <col min="9731" max="9731" width="0" hidden="1" customWidth="1"/>
    <col min="9732" max="9737" width="12.140625" customWidth="1"/>
    <col min="9974" max="9974" width="18.140625" customWidth="1"/>
    <col min="9975" max="9975" width="46.140625" customWidth="1"/>
    <col min="9976" max="9976" width="10" customWidth="1"/>
    <col min="9977" max="9977" width="12.42578125" customWidth="1"/>
    <col min="9978" max="9978" width="16.140625" customWidth="1"/>
    <col min="9979" max="9979" width="25.28515625" customWidth="1"/>
    <col min="9980" max="9981" width="13.7109375" customWidth="1"/>
    <col min="9982" max="9982" width="12.140625" customWidth="1"/>
    <col min="9983" max="9983" width="9.7109375" customWidth="1"/>
    <col min="9984" max="9986" width="12.140625" customWidth="1"/>
    <col min="9987" max="9987" width="0" hidden="1" customWidth="1"/>
    <col min="9988" max="9993" width="12.140625" customWidth="1"/>
    <col min="10230" max="10230" width="18.140625" customWidth="1"/>
    <col min="10231" max="10231" width="46.140625" customWidth="1"/>
    <col min="10232" max="10232" width="10" customWidth="1"/>
    <col min="10233" max="10233" width="12.42578125" customWidth="1"/>
    <col min="10234" max="10234" width="16.140625" customWidth="1"/>
    <col min="10235" max="10235" width="25.28515625" customWidth="1"/>
    <col min="10236" max="10237" width="13.7109375" customWidth="1"/>
    <col min="10238" max="10238" width="12.140625" customWidth="1"/>
    <col min="10239" max="10239" width="9.7109375" customWidth="1"/>
    <col min="10240" max="10242" width="12.140625" customWidth="1"/>
    <col min="10243" max="10243" width="0" hidden="1" customWidth="1"/>
    <col min="10244" max="10249" width="12.140625" customWidth="1"/>
    <col min="10486" max="10486" width="18.140625" customWidth="1"/>
    <col min="10487" max="10487" width="46.140625" customWidth="1"/>
    <col min="10488" max="10488" width="10" customWidth="1"/>
    <col min="10489" max="10489" width="12.42578125" customWidth="1"/>
    <col min="10490" max="10490" width="16.140625" customWidth="1"/>
    <col min="10491" max="10491" width="25.28515625" customWidth="1"/>
    <col min="10492" max="10493" width="13.7109375" customWidth="1"/>
    <col min="10494" max="10494" width="12.140625" customWidth="1"/>
    <col min="10495" max="10495" width="9.7109375" customWidth="1"/>
    <col min="10496" max="10498" width="12.140625" customWidth="1"/>
    <col min="10499" max="10499" width="0" hidden="1" customWidth="1"/>
    <col min="10500" max="10505" width="12.140625" customWidth="1"/>
    <col min="10742" max="10742" width="18.140625" customWidth="1"/>
    <col min="10743" max="10743" width="46.140625" customWidth="1"/>
    <col min="10744" max="10744" width="10" customWidth="1"/>
    <col min="10745" max="10745" width="12.42578125" customWidth="1"/>
    <col min="10746" max="10746" width="16.140625" customWidth="1"/>
    <col min="10747" max="10747" width="25.28515625" customWidth="1"/>
    <col min="10748" max="10749" width="13.7109375" customWidth="1"/>
    <col min="10750" max="10750" width="12.140625" customWidth="1"/>
    <col min="10751" max="10751" width="9.7109375" customWidth="1"/>
    <col min="10752" max="10754" width="12.140625" customWidth="1"/>
    <col min="10755" max="10755" width="0" hidden="1" customWidth="1"/>
    <col min="10756" max="10761" width="12.140625" customWidth="1"/>
    <col min="10998" max="10998" width="18.140625" customWidth="1"/>
    <col min="10999" max="10999" width="46.140625" customWidth="1"/>
    <col min="11000" max="11000" width="10" customWidth="1"/>
    <col min="11001" max="11001" width="12.42578125" customWidth="1"/>
    <col min="11002" max="11002" width="16.140625" customWidth="1"/>
    <col min="11003" max="11003" width="25.28515625" customWidth="1"/>
    <col min="11004" max="11005" width="13.7109375" customWidth="1"/>
    <col min="11006" max="11006" width="12.140625" customWidth="1"/>
    <col min="11007" max="11007" width="9.7109375" customWidth="1"/>
    <col min="11008" max="11010" width="12.140625" customWidth="1"/>
    <col min="11011" max="11011" width="0" hidden="1" customWidth="1"/>
    <col min="11012" max="11017" width="12.140625" customWidth="1"/>
    <col min="11254" max="11254" width="18.140625" customWidth="1"/>
    <col min="11255" max="11255" width="46.140625" customWidth="1"/>
    <col min="11256" max="11256" width="10" customWidth="1"/>
    <col min="11257" max="11257" width="12.42578125" customWidth="1"/>
    <col min="11258" max="11258" width="16.140625" customWidth="1"/>
    <col min="11259" max="11259" width="25.28515625" customWidth="1"/>
    <col min="11260" max="11261" width="13.7109375" customWidth="1"/>
    <col min="11262" max="11262" width="12.140625" customWidth="1"/>
    <col min="11263" max="11263" width="9.7109375" customWidth="1"/>
    <col min="11264" max="11266" width="12.140625" customWidth="1"/>
    <col min="11267" max="11267" width="0" hidden="1" customWidth="1"/>
    <col min="11268" max="11273" width="12.140625" customWidth="1"/>
    <col min="11510" max="11510" width="18.140625" customWidth="1"/>
    <col min="11511" max="11511" width="46.140625" customWidth="1"/>
    <col min="11512" max="11512" width="10" customWidth="1"/>
    <col min="11513" max="11513" width="12.42578125" customWidth="1"/>
    <col min="11514" max="11514" width="16.140625" customWidth="1"/>
    <col min="11515" max="11515" width="25.28515625" customWidth="1"/>
    <col min="11516" max="11517" width="13.7109375" customWidth="1"/>
    <col min="11518" max="11518" width="12.140625" customWidth="1"/>
    <col min="11519" max="11519" width="9.7109375" customWidth="1"/>
    <col min="11520" max="11522" width="12.140625" customWidth="1"/>
    <col min="11523" max="11523" width="0" hidden="1" customWidth="1"/>
    <col min="11524" max="11529" width="12.140625" customWidth="1"/>
    <col min="11766" max="11766" width="18.140625" customWidth="1"/>
    <col min="11767" max="11767" width="46.140625" customWidth="1"/>
    <col min="11768" max="11768" width="10" customWidth="1"/>
    <col min="11769" max="11769" width="12.42578125" customWidth="1"/>
    <col min="11770" max="11770" width="16.140625" customWidth="1"/>
    <col min="11771" max="11771" width="25.28515625" customWidth="1"/>
    <col min="11772" max="11773" width="13.7109375" customWidth="1"/>
    <col min="11774" max="11774" width="12.140625" customWidth="1"/>
    <col min="11775" max="11775" width="9.7109375" customWidth="1"/>
    <col min="11776" max="11778" width="12.140625" customWidth="1"/>
    <col min="11779" max="11779" width="0" hidden="1" customWidth="1"/>
    <col min="11780" max="11785" width="12.140625" customWidth="1"/>
    <col min="12022" max="12022" width="18.140625" customWidth="1"/>
    <col min="12023" max="12023" width="46.140625" customWidth="1"/>
    <col min="12024" max="12024" width="10" customWidth="1"/>
    <col min="12025" max="12025" width="12.42578125" customWidth="1"/>
    <col min="12026" max="12026" width="16.140625" customWidth="1"/>
    <col min="12027" max="12027" width="25.28515625" customWidth="1"/>
    <col min="12028" max="12029" width="13.7109375" customWidth="1"/>
    <col min="12030" max="12030" width="12.140625" customWidth="1"/>
    <col min="12031" max="12031" width="9.7109375" customWidth="1"/>
    <col min="12032" max="12034" width="12.140625" customWidth="1"/>
    <col min="12035" max="12035" width="0" hidden="1" customWidth="1"/>
    <col min="12036" max="12041" width="12.140625" customWidth="1"/>
    <col min="12278" max="12278" width="18.140625" customWidth="1"/>
    <col min="12279" max="12279" width="46.140625" customWidth="1"/>
    <col min="12280" max="12280" width="10" customWidth="1"/>
    <col min="12281" max="12281" width="12.42578125" customWidth="1"/>
    <col min="12282" max="12282" width="16.140625" customWidth="1"/>
    <col min="12283" max="12283" width="25.28515625" customWidth="1"/>
    <col min="12284" max="12285" width="13.7109375" customWidth="1"/>
    <col min="12286" max="12286" width="12.140625" customWidth="1"/>
    <col min="12287" max="12287" width="9.7109375" customWidth="1"/>
    <col min="12288" max="12290" width="12.140625" customWidth="1"/>
    <col min="12291" max="12291" width="0" hidden="1" customWidth="1"/>
    <col min="12292" max="12297" width="12.140625" customWidth="1"/>
    <col min="12534" max="12534" width="18.140625" customWidth="1"/>
    <col min="12535" max="12535" width="46.140625" customWidth="1"/>
    <col min="12536" max="12536" width="10" customWidth="1"/>
    <col min="12537" max="12537" width="12.42578125" customWidth="1"/>
    <col min="12538" max="12538" width="16.140625" customWidth="1"/>
    <col min="12539" max="12539" width="25.28515625" customWidth="1"/>
    <col min="12540" max="12541" width="13.7109375" customWidth="1"/>
    <col min="12542" max="12542" width="12.140625" customWidth="1"/>
    <col min="12543" max="12543" width="9.7109375" customWidth="1"/>
    <col min="12544" max="12546" width="12.140625" customWidth="1"/>
    <col min="12547" max="12547" width="0" hidden="1" customWidth="1"/>
    <col min="12548" max="12553" width="12.140625" customWidth="1"/>
    <col min="12790" max="12790" width="18.140625" customWidth="1"/>
    <col min="12791" max="12791" width="46.140625" customWidth="1"/>
    <col min="12792" max="12792" width="10" customWidth="1"/>
    <col min="12793" max="12793" width="12.42578125" customWidth="1"/>
    <col min="12794" max="12794" width="16.140625" customWidth="1"/>
    <col min="12795" max="12795" width="25.28515625" customWidth="1"/>
    <col min="12796" max="12797" width="13.7109375" customWidth="1"/>
    <col min="12798" max="12798" width="12.140625" customWidth="1"/>
    <col min="12799" max="12799" width="9.7109375" customWidth="1"/>
    <col min="12800" max="12802" width="12.140625" customWidth="1"/>
    <col min="12803" max="12803" width="0" hidden="1" customWidth="1"/>
    <col min="12804" max="12809" width="12.140625" customWidth="1"/>
    <col min="13046" max="13046" width="18.140625" customWidth="1"/>
    <col min="13047" max="13047" width="46.140625" customWidth="1"/>
    <col min="13048" max="13048" width="10" customWidth="1"/>
    <col min="13049" max="13049" width="12.42578125" customWidth="1"/>
    <col min="13050" max="13050" width="16.140625" customWidth="1"/>
    <col min="13051" max="13051" width="25.28515625" customWidth="1"/>
    <col min="13052" max="13053" width="13.7109375" customWidth="1"/>
    <col min="13054" max="13054" width="12.140625" customWidth="1"/>
    <col min="13055" max="13055" width="9.7109375" customWidth="1"/>
    <col min="13056" max="13058" width="12.140625" customWidth="1"/>
    <col min="13059" max="13059" width="0" hidden="1" customWidth="1"/>
    <col min="13060" max="13065" width="12.140625" customWidth="1"/>
    <col min="13302" max="13302" width="18.140625" customWidth="1"/>
    <col min="13303" max="13303" width="46.140625" customWidth="1"/>
    <col min="13304" max="13304" width="10" customWidth="1"/>
    <col min="13305" max="13305" width="12.42578125" customWidth="1"/>
    <col min="13306" max="13306" width="16.140625" customWidth="1"/>
    <col min="13307" max="13307" width="25.28515625" customWidth="1"/>
    <col min="13308" max="13309" width="13.7109375" customWidth="1"/>
    <col min="13310" max="13310" width="12.140625" customWidth="1"/>
    <col min="13311" max="13311" width="9.7109375" customWidth="1"/>
    <col min="13312" max="13314" width="12.140625" customWidth="1"/>
    <col min="13315" max="13315" width="0" hidden="1" customWidth="1"/>
    <col min="13316" max="13321" width="12.140625" customWidth="1"/>
    <col min="13558" max="13558" width="18.140625" customWidth="1"/>
    <col min="13559" max="13559" width="46.140625" customWidth="1"/>
    <col min="13560" max="13560" width="10" customWidth="1"/>
    <col min="13561" max="13561" width="12.42578125" customWidth="1"/>
    <col min="13562" max="13562" width="16.140625" customWidth="1"/>
    <col min="13563" max="13563" width="25.28515625" customWidth="1"/>
    <col min="13564" max="13565" width="13.7109375" customWidth="1"/>
    <col min="13566" max="13566" width="12.140625" customWidth="1"/>
    <col min="13567" max="13567" width="9.7109375" customWidth="1"/>
    <col min="13568" max="13570" width="12.140625" customWidth="1"/>
    <col min="13571" max="13571" width="0" hidden="1" customWidth="1"/>
    <col min="13572" max="13577" width="12.140625" customWidth="1"/>
    <col min="13814" max="13814" width="18.140625" customWidth="1"/>
    <col min="13815" max="13815" width="46.140625" customWidth="1"/>
    <col min="13816" max="13816" width="10" customWidth="1"/>
    <col min="13817" max="13817" width="12.42578125" customWidth="1"/>
    <col min="13818" max="13818" width="16.140625" customWidth="1"/>
    <col min="13819" max="13819" width="25.28515625" customWidth="1"/>
    <col min="13820" max="13821" width="13.7109375" customWidth="1"/>
    <col min="13822" max="13822" width="12.140625" customWidth="1"/>
    <col min="13823" max="13823" width="9.7109375" customWidth="1"/>
    <col min="13824" max="13826" width="12.140625" customWidth="1"/>
    <col min="13827" max="13827" width="0" hidden="1" customWidth="1"/>
    <col min="13828" max="13833" width="12.140625" customWidth="1"/>
    <col min="14070" max="14070" width="18.140625" customWidth="1"/>
    <col min="14071" max="14071" width="46.140625" customWidth="1"/>
    <col min="14072" max="14072" width="10" customWidth="1"/>
    <col min="14073" max="14073" width="12.42578125" customWidth="1"/>
    <col min="14074" max="14074" width="16.140625" customWidth="1"/>
    <col min="14075" max="14075" width="25.28515625" customWidth="1"/>
    <col min="14076" max="14077" width="13.7109375" customWidth="1"/>
    <col min="14078" max="14078" width="12.140625" customWidth="1"/>
    <col min="14079" max="14079" width="9.7109375" customWidth="1"/>
    <col min="14080" max="14082" width="12.140625" customWidth="1"/>
    <col min="14083" max="14083" width="0" hidden="1" customWidth="1"/>
    <col min="14084" max="14089" width="12.140625" customWidth="1"/>
    <col min="14326" max="14326" width="18.140625" customWidth="1"/>
    <col min="14327" max="14327" width="46.140625" customWidth="1"/>
    <col min="14328" max="14328" width="10" customWidth="1"/>
    <col min="14329" max="14329" width="12.42578125" customWidth="1"/>
    <col min="14330" max="14330" width="16.140625" customWidth="1"/>
    <col min="14331" max="14331" width="25.28515625" customWidth="1"/>
    <col min="14332" max="14333" width="13.7109375" customWidth="1"/>
    <col min="14334" max="14334" width="12.140625" customWidth="1"/>
    <col min="14335" max="14335" width="9.7109375" customWidth="1"/>
    <col min="14336" max="14338" width="12.140625" customWidth="1"/>
    <col min="14339" max="14339" width="0" hidden="1" customWidth="1"/>
    <col min="14340" max="14345" width="12.140625" customWidth="1"/>
    <col min="14582" max="14582" width="18.140625" customWidth="1"/>
    <col min="14583" max="14583" width="46.140625" customWidth="1"/>
    <col min="14584" max="14584" width="10" customWidth="1"/>
    <col min="14585" max="14585" width="12.42578125" customWidth="1"/>
    <col min="14586" max="14586" width="16.140625" customWidth="1"/>
    <col min="14587" max="14587" width="25.28515625" customWidth="1"/>
    <col min="14588" max="14589" width="13.7109375" customWidth="1"/>
    <col min="14590" max="14590" width="12.140625" customWidth="1"/>
    <col min="14591" max="14591" width="9.7109375" customWidth="1"/>
    <col min="14592" max="14594" width="12.140625" customWidth="1"/>
    <col min="14595" max="14595" width="0" hidden="1" customWidth="1"/>
    <col min="14596" max="14601" width="12.140625" customWidth="1"/>
    <col min="14838" max="14838" width="18.140625" customWidth="1"/>
    <col min="14839" max="14839" width="46.140625" customWidth="1"/>
    <col min="14840" max="14840" width="10" customWidth="1"/>
    <col min="14841" max="14841" width="12.42578125" customWidth="1"/>
    <col min="14842" max="14842" width="16.140625" customWidth="1"/>
    <col min="14843" max="14843" width="25.28515625" customWidth="1"/>
    <col min="14844" max="14845" width="13.7109375" customWidth="1"/>
    <col min="14846" max="14846" width="12.140625" customWidth="1"/>
    <col min="14847" max="14847" width="9.7109375" customWidth="1"/>
    <col min="14848" max="14850" width="12.140625" customWidth="1"/>
    <col min="14851" max="14851" width="0" hidden="1" customWidth="1"/>
    <col min="14852" max="14857" width="12.140625" customWidth="1"/>
    <col min="15094" max="15094" width="18.140625" customWidth="1"/>
    <col min="15095" max="15095" width="46.140625" customWidth="1"/>
    <col min="15096" max="15096" width="10" customWidth="1"/>
    <col min="15097" max="15097" width="12.42578125" customWidth="1"/>
    <col min="15098" max="15098" width="16.140625" customWidth="1"/>
    <col min="15099" max="15099" width="25.28515625" customWidth="1"/>
    <col min="15100" max="15101" width="13.7109375" customWidth="1"/>
    <col min="15102" max="15102" width="12.140625" customWidth="1"/>
    <col min="15103" max="15103" width="9.7109375" customWidth="1"/>
    <col min="15104" max="15106" width="12.140625" customWidth="1"/>
    <col min="15107" max="15107" width="0" hidden="1" customWidth="1"/>
    <col min="15108" max="15113" width="12.140625" customWidth="1"/>
    <col min="15350" max="15350" width="18.140625" customWidth="1"/>
    <col min="15351" max="15351" width="46.140625" customWidth="1"/>
    <col min="15352" max="15352" width="10" customWidth="1"/>
    <col min="15353" max="15353" width="12.42578125" customWidth="1"/>
    <col min="15354" max="15354" width="16.140625" customWidth="1"/>
    <col min="15355" max="15355" width="25.28515625" customWidth="1"/>
    <col min="15356" max="15357" width="13.7109375" customWidth="1"/>
    <col min="15358" max="15358" width="12.140625" customWidth="1"/>
    <col min="15359" max="15359" width="9.7109375" customWidth="1"/>
    <col min="15360" max="15362" width="12.140625" customWidth="1"/>
    <col min="15363" max="15363" width="0" hidden="1" customWidth="1"/>
    <col min="15364" max="15369" width="12.140625" customWidth="1"/>
    <col min="15606" max="15606" width="18.140625" customWidth="1"/>
    <col min="15607" max="15607" width="46.140625" customWidth="1"/>
    <col min="15608" max="15608" width="10" customWidth="1"/>
    <col min="15609" max="15609" width="12.42578125" customWidth="1"/>
    <col min="15610" max="15610" width="16.140625" customWidth="1"/>
    <col min="15611" max="15611" width="25.28515625" customWidth="1"/>
    <col min="15612" max="15613" width="13.7109375" customWidth="1"/>
    <col min="15614" max="15614" width="12.140625" customWidth="1"/>
    <col min="15615" max="15615" width="9.7109375" customWidth="1"/>
    <col min="15616" max="15618" width="12.140625" customWidth="1"/>
    <col min="15619" max="15619" width="0" hidden="1" customWidth="1"/>
    <col min="15620" max="15625" width="12.140625" customWidth="1"/>
    <col min="15862" max="15862" width="18.140625" customWidth="1"/>
    <col min="15863" max="15863" width="46.140625" customWidth="1"/>
    <col min="15864" max="15864" width="10" customWidth="1"/>
    <col min="15865" max="15865" width="12.42578125" customWidth="1"/>
    <col min="15866" max="15866" width="16.140625" customWidth="1"/>
    <col min="15867" max="15867" width="25.28515625" customWidth="1"/>
    <col min="15868" max="15869" width="13.7109375" customWidth="1"/>
    <col min="15870" max="15870" width="12.140625" customWidth="1"/>
    <col min="15871" max="15871" width="9.7109375" customWidth="1"/>
    <col min="15872" max="15874" width="12.140625" customWidth="1"/>
    <col min="15875" max="15875" width="0" hidden="1" customWidth="1"/>
    <col min="15876" max="15881" width="12.140625" customWidth="1"/>
    <col min="16118" max="16118" width="18.140625" customWidth="1"/>
    <col min="16119" max="16119" width="46.140625" customWidth="1"/>
    <col min="16120" max="16120" width="10" customWidth="1"/>
    <col min="16121" max="16121" width="12.42578125" customWidth="1"/>
    <col min="16122" max="16122" width="16.140625" customWidth="1"/>
    <col min="16123" max="16123" width="25.28515625" customWidth="1"/>
    <col min="16124" max="16125" width="13.7109375" customWidth="1"/>
    <col min="16126" max="16126" width="12.140625" customWidth="1"/>
    <col min="16127" max="16127" width="9.7109375" customWidth="1"/>
    <col min="16128" max="16130" width="12.140625" customWidth="1"/>
    <col min="16131" max="16131" width="0" hidden="1" customWidth="1"/>
    <col min="16132" max="16137" width="12.140625" customWidth="1"/>
  </cols>
  <sheetData>
    <row r="1" spans="1:15" ht="15" customHeight="1">
      <c r="A1" s="552"/>
      <c r="B1" s="606" t="s">
        <v>479</v>
      </c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</row>
    <row r="2" spans="1:15" ht="15" customHeight="1">
      <c r="A2" s="552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</row>
    <row r="3" spans="1:15" ht="15" customHeight="1">
      <c r="A3" s="552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</row>
    <row r="7" spans="1:15" s="1" customFormat="1" ht="90">
      <c r="A7" s="357" t="s">
        <v>480</v>
      </c>
      <c r="B7" s="357" t="s">
        <v>481</v>
      </c>
      <c r="C7" s="357" t="s">
        <v>482</v>
      </c>
      <c r="D7" s="357" t="s">
        <v>483</v>
      </c>
      <c r="E7" s="357" t="s">
        <v>484</v>
      </c>
      <c r="F7" s="357" t="s">
        <v>485</v>
      </c>
      <c r="G7" s="357" t="s">
        <v>486</v>
      </c>
      <c r="H7" s="357" t="s">
        <v>487</v>
      </c>
      <c r="I7" s="357" t="s">
        <v>488</v>
      </c>
      <c r="J7" s="357" t="s">
        <v>489</v>
      </c>
      <c r="K7" s="357" t="s">
        <v>490</v>
      </c>
      <c r="L7" s="357" t="s">
        <v>491</v>
      </c>
      <c r="M7" s="357" t="s">
        <v>492</v>
      </c>
      <c r="N7" s="357" t="s">
        <v>493</v>
      </c>
      <c r="O7" s="357" t="s">
        <v>494</v>
      </c>
    </row>
    <row r="8" spans="1:15">
      <c r="A8" s="358"/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</row>
    <row r="9" spans="1:15">
      <c r="A9" s="358"/>
      <c r="B9" s="358"/>
      <c r="C9" s="358"/>
      <c r="D9" s="358"/>
      <c r="E9" s="358"/>
      <c r="F9" s="358"/>
      <c r="G9" s="358"/>
      <c r="H9" s="358"/>
      <c r="I9" s="358"/>
      <c r="J9" s="358"/>
      <c r="K9" s="358"/>
      <c r="L9" s="358"/>
      <c r="M9" s="358"/>
      <c r="N9" s="358"/>
      <c r="O9" s="358"/>
    </row>
    <row r="10" spans="1:15">
      <c r="A10" s="358"/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8"/>
      <c r="N10" s="358"/>
      <c r="O10" s="358"/>
    </row>
    <row r="11" spans="1:15">
      <c r="A11" s="358"/>
      <c r="B11" s="358"/>
      <c r="C11" s="358"/>
      <c r="D11" s="358"/>
      <c r="E11" s="358"/>
      <c r="F11" s="358"/>
      <c r="G11" s="358"/>
      <c r="H11" s="358"/>
      <c r="I11" s="358"/>
      <c r="J11" s="358"/>
      <c r="K11" s="358"/>
      <c r="L11" s="358"/>
      <c r="M11" s="358"/>
      <c r="N11" s="358"/>
      <c r="O11" s="358"/>
    </row>
    <row r="12" spans="1:15">
      <c r="A12" s="358"/>
      <c r="B12" s="358"/>
      <c r="C12" s="358"/>
      <c r="D12" s="358"/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58"/>
    </row>
    <row r="13" spans="1:15">
      <c r="A13" s="358"/>
      <c r="B13" s="358"/>
      <c r="C13" s="358"/>
      <c r="D13" s="358"/>
      <c r="E13" s="358"/>
      <c r="F13" s="358"/>
      <c r="G13" s="358"/>
      <c r="H13" s="358"/>
      <c r="I13" s="358"/>
      <c r="J13" s="358"/>
      <c r="K13" s="358"/>
      <c r="L13" s="358"/>
      <c r="M13" s="358"/>
      <c r="N13" s="358"/>
      <c r="O13" s="358"/>
    </row>
    <row r="14" spans="1:15">
      <c r="A14" s="358"/>
      <c r="B14" s="358"/>
      <c r="C14" s="358"/>
      <c r="D14" s="358"/>
      <c r="E14" s="358"/>
      <c r="F14" s="358"/>
      <c r="G14" s="358"/>
      <c r="H14" s="358"/>
      <c r="I14" s="358"/>
      <c r="J14" s="358"/>
      <c r="K14" s="358"/>
      <c r="L14" s="358"/>
      <c r="M14" s="358"/>
      <c r="N14" s="358"/>
      <c r="O14" s="358"/>
    </row>
    <row r="15" spans="1:15">
      <c r="A15" s="358"/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</row>
    <row r="16" spans="1:15">
      <c r="A16" s="358"/>
      <c r="B16" s="358"/>
      <c r="C16" s="358"/>
      <c r="D16" s="358"/>
      <c r="E16" s="358"/>
      <c r="F16" s="358"/>
      <c r="G16" s="358"/>
      <c r="H16" s="358"/>
      <c r="I16" s="358"/>
      <c r="J16" s="358"/>
      <c r="K16" s="358"/>
      <c r="L16" s="358"/>
      <c r="M16" s="358"/>
      <c r="N16" s="358"/>
      <c r="O16" s="358"/>
    </row>
    <row r="17" spans="1:15">
      <c r="A17" s="358"/>
      <c r="B17" s="358"/>
      <c r="C17" s="358"/>
      <c r="D17" s="358"/>
      <c r="E17" s="358"/>
      <c r="F17" s="358"/>
      <c r="G17" s="358"/>
      <c r="H17" s="358"/>
      <c r="I17" s="358"/>
      <c r="J17" s="358"/>
      <c r="K17" s="358"/>
      <c r="L17" s="358"/>
      <c r="M17" s="358"/>
      <c r="N17" s="358"/>
      <c r="O17" s="358"/>
    </row>
    <row r="18" spans="1:15">
      <c r="A18" s="358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</row>
    <row r="19" spans="1:15">
      <c r="A19" s="358"/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</row>
    <row r="20" spans="1:15">
      <c r="A20" s="358"/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</row>
    <row r="21" spans="1:15">
      <c r="A21" s="358"/>
      <c r="B21" s="358"/>
      <c r="C21" s="358"/>
      <c r="D21" s="358"/>
      <c r="E21" s="358"/>
      <c r="F21" s="358"/>
      <c r="G21" s="358"/>
      <c r="H21" s="358"/>
      <c r="I21" s="358"/>
      <c r="J21" s="358"/>
      <c r="K21" s="358"/>
      <c r="L21" s="358"/>
      <c r="M21" s="358"/>
      <c r="N21" s="358"/>
      <c r="O21" s="358"/>
    </row>
    <row r="22" spans="1:15">
      <c r="A22" s="358"/>
      <c r="B22" s="358"/>
      <c r="C22" s="358"/>
      <c r="D22" s="358"/>
      <c r="E22" s="358"/>
      <c r="F22" s="358"/>
      <c r="G22" s="358"/>
      <c r="H22" s="358"/>
      <c r="I22" s="358"/>
      <c r="J22" s="358"/>
      <c r="K22" s="358"/>
      <c r="L22" s="358"/>
      <c r="M22" s="358"/>
      <c r="N22" s="358"/>
      <c r="O22" s="358"/>
    </row>
    <row r="23" spans="1:15">
      <c r="A23" s="358"/>
      <c r="B23" s="358"/>
      <c r="C23" s="358"/>
      <c r="D23" s="358"/>
      <c r="E23" s="358"/>
      <c r="F23" s="358"/>
      <c r="G23" s="358"/>
      <c r="H23" s="358"/>
      <c r="I23" s="358"/>
      <c r="J23" s="358"/>
      <c r="K23" s="358"/>
      <c r="L23" s="358"/>
      <c r="M23" s="358"/>
      <c r="N23" s="358"/>
      <c r="O23" s="358"/>
    </row>
    <row r="24" spans="1:15">
      <c r="A24" s="358"/>
      <c r="B24" s="358"/>
      <c r="C24" s="358"/>
      <c r="D24" s="358"/>
      <c r="E24" s="358"/>
      <c r="F24" s="358"/>
      <c r="G24" s="358"/>
      <c r="H24" s="358"/>
      <c r="I24" s="358"/>
      <c r="J24" s="358"/>
      <c r="K24" s="358"/>
      <c r="L24" s="358"/>
      <c r="M24" s="358"/>
      <c r="N24" s="358"/>
      <c r="O24" s="358"/>
    </row>
    <row r="25" spans="1:15">
      <c r="A25" s="358"/>
      <c r="B25" s="358"/>
      <c r="C25" s="358"/>
      <c r="D25" s="358"/>
      <c r="E25" s="358"/>
      <c r="F25" s="358"/>
      <c r="G25" s="358"/>
      <c r="H25" s="358"/>
      <c r="I25" s="358"/>
      <c r="J25" s="358"/>
      <c r="K25" s="358"/>
      <c r="L25" s="358"/>
      <c r="M25" s="358"/>
      <c r="N25" s="358"/>
      <c r="O25" s="358"/>
    </row>
  </sheetData>
  <mergeCells count="2">
    <mergeCell ref="A1:A3"/>
    <mergeCell ref="B1:O3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DFAAE88F10C4FA107DBDE146F42AE" ma:contentTypeVersion="4" ma:contentTypeDescription="Crée un document." ma:contentTypeScope="" ma:versionID="eae0b26e0db0cc7c42dd2038f0c807cb">
  <xsd:schema xmlns:xsd="http://www.w3.org/2001/XMLSchema" xmlns:xs="http://www.w3.org/2001/XMLSchema" xmlns:p="http://schemas.microsoft.com/office/2006/metadata/properties" xmlns:ns2="30da799e-c18f-4aab-97ef-bbd434276f64" targetNamespace="http://schemas.microsoft.com/office/2006/metadata/properties" ma:root="true" ma:fieldsID="eada1dd96f4224a242fc86d54813e101" ns2:_="">
    <xsd:import namespace="30da799e-c18f-4aab-97ef-bbd434276f64"/>
    <xsd:element name="properties">
      <xsd:complexType>
        <xsd:sequence>
          <xsd:element name="documentManagement">
            <xsd:complexType>
              <xsd:all>
                <xsd:element ref="ns2:Mission_x003a_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a799e-c18f-4aab-97ef-bbd434276f64" elementFormDefault="qualified">
    <xsd:import namespace="http://schemas.microsoft.com/office/2006/documentManagement/types"/>
    <xsd:import namespace="http://schemas.microsoft.com/office/infopath/2007/PartnerControls"/>
    <xsd:element name="Mission_x003a_" ma:index="8" nillable="true" ma:displayName="Mission :" ma:description="analyser documents client&#10;générer rapport&#10;générer plan d’action" ma:format="Dropdown" ma:internalName="Mission_x003a_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ssion_x003a_ xmlns="30da799e-c18f-4aab-97ef-bbd434276f64" xsi:nil="true"/>
  </documentManagement>
</p:properties>
</file>

<file path=customXml/itemProps1.xml><?xml version="1.0" encoding="utf-8"?>
<ds:datastoreItem xmlns:ds="http://schemas.openxmlformats.org/officeDocument/2006/customXml" ds:itemID="{97523353-706E-4486-BB00-B33FE10BA163}"/>
</file>

<file path=customXml/itemProps2.xml><?xml version="1.0" encoding="utf-8"?>
<ds:datastoreItem xmlns:ds="http://schemas.openxmlformats.org/officeDocument/2006/customXml" ds:itemID="{C6F456CA-8ED3-47CF-9500-136708A1670A}"/>
</file>

<file path=customXml/itemProps3.xml><?xml version="1.0" encoding="utf-8"?>
<ds:datastoreItem xmlns:ds="http://schemas.openxmlformats.org/officeDocument/2006/customXml" ds:itemID="{84545331-DF46-4AE3-8732-49EEEB617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magali dupuis</dc:creator>
  <cp:keywords/>
  <dc:description/>
  <cp:lastModifiedBy/>
  <cp:revision/>
  <dcterms:created xsi:type="dcterms:W3CDTF">2018-09-19T14:13:14Z</dcterms:created>
  <dcterms:modified xsi:type="dcterms:W3CDTF">2026-04-20T10:57:56Z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0x0101003F3DFAAE88F10C4FA107DBDE146F42AE</vt:lpwstr>
  </property>
</Properties>
</file>