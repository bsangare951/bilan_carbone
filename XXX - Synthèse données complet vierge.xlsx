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T:\ACCOMPAGNEMENT\PACK VIERGE CLIENTS\PACK RSE VIERGE\"/>
    </mc:Choice>
  </mc:AlternateContent>
  <xr:revisionPtr revIDLastSave="0" documentId="8_{705F9E3A-8F16-475D-8397-85A0CA75547F}" xr6:coauthVersionLast="47" xr6:coauthVersionMax="47" xr10:uidLastSave="{00000000-0000-0000-0000-000000000000}"/>
  <bookViews>
    <workbookView xWindow="-108" yWindow="-108" windowWidth="23256" windowHeight="12456" firstSheet="8" activeTab="8" xr2:uid="{385ADE19-C826-4207-B078-7D20B58D5BFE}"/>
  </bookViews>
  <sheets>
    <sheet name="Données" sheetId="1" r:id="rId1"/>
    <sheet name="Outillage" sheetId="6" r:id="rId2"/>
    <sheet name="Véhicules" sheetId="5" r:id="rId3"/>
    <sheet name="Déplacements Domicile-travail" sheetId="4" r:id="rId4"/>
    <sheet name="EAU ELECTRICITE" sheetId="11" r:id="rId5"/>
    <sheet name="Déchets" sheetId="13" r:id="rId6"/>
    <sheet name="Achats matières dont recyclées" sheetId="14" r:id="rId7"/>
    <sheet name="Détails Charges" sheetId="17" r:id="rId8"/>
    <sheet name="Recap C02" sheetId="18" r:id="rId9"/>
    <sheet name="brouillon" sheetId="20" r:id="rId10"/>
  </sheets>
  <definedNames>
    <definedName name="_xlnm._FilterDatabase" localSheetId="6" hidden="1">'Achats matières dont recyclées'!$C$2:$F$22</definedName>
    <definedName name="_xlnm._FilterDatabase" localSheetId="7" hidden="1">'Détails Charges'!$C$6:$I$50</definedName>
    <definedName name="_xlnm._FilterDatabase" localSheetId="0" hidden="1">Données!$A$1:$H$92</definedName>
    <definedName name="_xlnm._FilterDatabase" localSheetId="1" hidden="1">Outillage!$B$3:$K$134</definedName>
    <definedName name="_xlnm._FilterDatabase" localSheetId="8" hidden="1">'Recap C02'!$C$26:$E$31</definedName>
    <definedName name="_xlnm._FilterDatabase" localSheetId="2" hidden="1">Véhicules!$A$2:$T$36</definedName>
    <definedName name="_xlchart.v1.0" hidden="1">'Recap C02'!$C$55:$C$63</definedName>
    <definedName name="_xlchart.v1.1" hidden="1">'Recap C02'!$D$55:$D$63</definedName>
    <definedName name="_xlchart.v1.2" hidden="1">'Recap C02'!$C$55:$C$63</definedName>
    <definedName name="_xlchart.v1.3" hidden="1">'Recap C02'!$E$55:$E$63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3" l="1"/>
  <c r="I10" i="13"/>
  <c r="L8" i="17"/>
  <c r="I17" i="11"/>
  <c r="L32" i="4" l="1"/>
  <c r="J31" i="4"/>
  <c r="L31" i="4"/>
  <c r="N31" i="4"/>
  <c r="J10" i="4"/>
  <c r="L10" i="4" s="1"/>
  <c r="N10" i="4" s="1"/>
  <c r="J11" i="4"/>
  <c r="L11" i="4"/>
  <c r="N11" i="4" s="1"/>
  <c r="J12" i="4"/>
  <c r="L12" i="4" s="1"/>
  <c r="N12" i="4" s="1"/>
  <c r="J13" i="4"/>
  <c r="L13" i="4"/>
  <c r="N13" i="4" s="1"/>
  <c r="J14" i="4"/>
  <c r="L14" i="4" s="1"/>
  <c r="N14" i="4" s="1"/>
  <c r="J15" i="4"/>
  <c r="L15" i="4"/>
  <c r="N15" i="4" s="1"/>
  <c r="J16" i="4"/>
  <c r="L16" i="4" s="1"/>
  <c r="N16" i="4" s="1"/>
  <c r="J17" i="4"/>
  <c r="L17" i="4"/>
  <c r="N17" i="4" s="1"/>
  <c r="J18" i="4"/>
  <c r="L18" i="4" s="1"/>
  <c r="N18" i="4" s="1"/>
  <c r="J19" i="4"/>
  <c r="L19" i="4"/>
  <c r="N19" i="4" s="1"/>
  <c r="J20" i="4"/>
  <c r="L20" i="4" s="1"/>
  <c r="N20" i="4" s="1"/>
  <c r="J21" i="4"/>
  <c r="L21" i="4"/>
  <c r="N21" i="4" s="1"/>
  <c r="J22" i="4"/>
  <c r="L22" i="4" s="1"/>
  <c r="N22" i="4" s="1"/>
  <c r="J23" i="4"/>
  <c r="L23" i="4"/>
  <c r="N23" i="4" s="1"/>
  <c r="J24" i="4"/>
  <c r="L24" i="4" s="1"/>
  <c r="N24" i="4" s="1"/>
  <c r="J25" i="4"/>
  <c r="L25" i="4"/>
  <c r="N25" i="4" s="1"/>
  <c r="J26" i="4"/>
  <c r="L26" i="4" s="1"/>
  <c r="N26" i="4" s="1"/>
  <c r="J27" i="4"/>
  <c r="L27" i="4"/>
  <c r="N27" i="4" s="1"/>
  <c r="J28" i="4"/>
  <c r="L28" i="4" s="1"/>
  <c r="N28" i="4" s="1"/>
  <c r="J29" i="4"/>
  <c r="L29" i="4"/>
  <c r="N29" i="4" s="1"/>
  <c r="J30" i="4"/>
  <c r="L30" i="4" s="1"/>
  <c r="N30" i="4" s="1"/>
  <c r="D17" i="11" l="1"/>
  <c r="J9" i="4" l="1"/>
  <c r="L9" i="4" s="1"/>
  <c r="N9" i="4" s="1"/>
  <c r="J8" i="4"/>
  <c r="L8" i="4" s="1"/>
  <c r="N8" i="4" s="1"/>
  <c r="J7" i="4"/>
  <c r="L7" i="4" s="1"/>
  <c r="N7" i="4" s="1"/>
  <c r="J6" i="4"/>
  <c r="L6" i="4" s="1"/>
  <c r="V6" i="5"/>
  <c r="X6" i="5" s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E17" i="18"/>
  <c r="E15" i="18"/>
  <c r="E18" i="18" s="1"/>
  <c r="D17" i="18"/>
  <c r="E16" i="18"/>
  <c r="D16" i="18"/>
  <c r="D15" i="18"/>
  <c r="D45" i="18"/>
  <c r="E46" i="18" s="1"/>
  <c r="C33" i="18"/>
  <c r="D32" i="18"/>
  <c r="I6" i="18"/>
  <c r="N6" i="4" l="1"/>
  <c r="E27" i="18"/>
  <c r="D34" i="18"/>
  <c r="E26" i="18"/>
  <c r="D12" i="18" l="1"/>
  <c r="E5" i="18" s="1"/>
  <c r="H3" i="13" l="1"/>
  <c r="D22" i="14" l="1"/>
  <c r="E22" i="14"/>
  <c r="F22" i="14"/>
  <c r="H5" i="13"/>
  <c r="V4" i="5" l="1"/>
  <c r="X4" i="5" s="1"/>
  <c r="V5" i="5"/>
  <c r="R21" i="5"/>
  <c r="R20" i="5"/>
  <c r="J21" i="5"/>
  <c r="J20" i="5"/>
  <c r="F19" i="5"/>
  <c r="J22" i="5"/>
  <c r="R22" i="5"/>
  <c r="R19" i="5"/>
  <c r="J19" i="5"/>
  <c r="K19" i="5" l="1"/>
  <c r="L19" i="5" s="1"/>
  <c r="F22" i="5"/>
  <c r="K22" i="5"/>
  <c r="F20" i="5"/>
  <c r="K20" i="5"/>
  <c r="F21" i="5"/>
  <c r="K21" i="5"/>
  <c r="L21" i="5"/>
  <c r="L20" i="5"/>
  <c r="L22" i="5"/>
  <c r="G6" i="18" l="1"/>
  <c r="D60" i="18"/>
  <c r="D58" i="18"/>
  <c r="K51" i="18"/>
  <c r="E44" i="18"/>
  <c r="E43" i="18"/>
  <c r="E42" i="18"/>
  <c r="E31" i="18"/>
  <c r="E30" i="18"/>
  <c r="I29" i="18"/>
  <c r="E29" i="18"/>
  <c r="I28" i="18"/>
  <c r="D57" i="18" s="1"/>
  <c r="E28" i="18"/>
  <c r="I26" i="18"/>
  <c r="G11" i="18"/>
  <c r="E11" i="18"/>
  <c r="G10" i="18"/>
  <c r="E10" i="18"/>
  <c r="G9" i="18"/>
  <c r="E9" i="18"/>
  <c r="G8" i="18"/>
  <c r="E8" i="18"/>
  <c r="G7" i="18"/>
  <c r="E7" i="18"/>
  <c r="K6" i="18"/>
  <c r="E6" i="18"/>
  <c r="G5" i="18"/>
  <c r="H8" i="13"/>
  <c r="G7" i="13"/>
  <c r="H7" i="13"/>
  <c r="H6" i="13"/>
  <c r="G5" i="13"/>
  <c r="H4" i="13"/>
  <c r="G3" i="13"/>
  <c r="L13" i="17"/>
  <c r="L11" i="17"/>
  <c r="L10" i="17"/>
  <c r="L9" i="17"/>
  <c r="R13" i="5"/>
  <c r="J13" i="5"/>
  <c r="K13" i="5" s="1"/>
  <c r="R17" i="5"/>
  <c r="J17" i="5"/>
  <c r="K17" i="5" s="1"/>
  <c r="R16" i="5"/>
  <c r="J16" i="5"/>
  <c r="K16" i="5" s="1"/>
  <c r="R15" i="5"/>
  <c r="J15" i="5"/>
  <c r="K15" i="5" s="1"/>
  <c r="R12" i="5"/>
  <c r="J12" i="5"/>
  <c r="K12" i="5" s="1"/>
  <c r="R11" i="5"/>
  <c r="J11" i="5"/>
  <c r="K11" i="5" s="1"/>
  <c r="R10" i="5"/>
  <c r="J10" i="5"/>
  <c r="K10" i="5" s="1"/>
  <c r="R9" i="5"/>
  <c r="J9" i="5"/>
  <c r="K9" i="5" s="1"/>
  <c r="R8" i="5"/>
  <c r="J8" i="5"/>
  <c r="K8" i="5" s="1"/>
  <c r="R7" i="5"/>
  <c r="J7" i="5"/>
  <c r="K7" i="5" s="1"/>
  <c r="R6" i="5"/>
  <c r="J6" i="5"/>
  <c r="K6" i="5" s="1"/>
  <c r="R5" i="5"/>
  <c r="J5" i="5"/>
  <c r="K5" i="5" s="1"/>
  <c r="R4" i="5"/>
  <c r="J4" i="5"/>
  <c r="K4" i="5" s="1"/>
  <c r="R3" i="5"/>
  <c r="J3" i="5"/>
  <c r="K3" i="5" s="1"/>
  <c r="I3" i="5"/>
  <c r="R14" i="5"/>
  <c r="J14" i="5"/>
  <c r="K14" i="5" s="1"/>
  <c r="R18" i="5"/>
  <c r="J18" i="5"/>
  <c r="K18" i="5" s="1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I5" i="13" l="1"/>
  <c r="G12" i="18"/>
  <c r="H12" i="18" s="1"/>
  <c r="E32" i="18"/>
  <c r="D56" i="18"/>
  <c r="I32" i="18"/>
  <c r="I5" i="18" s="1"/>
  <c r="I12" i="18" s="1"/>
  <c r="I13" i="18" s="1"/>
  <c r="E12" i="18"/>
  <c r="H9" i="13"/>
  <c r="I6" i="13"/>
  <c r="I8" i="13"/>
  <c r="I7" i="13"/>
  <c r="L10" i="5"/>
  <c r="L11" i="5"/>
  <c r="F5" i="5"/>
  <c r="L5" i="5"/>
  <c r="F13" i="5"/>
  <c r="L13" i="5"/>
  <c r="L6" i="5"/>
  <c r="F12" i="5"/>
  <c r="L12" i="5"/>
  <c r="F7" i="5"/>
  <c r="L7" i="5"/>
  <c r="F15" i="5"/>
  <c r="L15" i="5"/>
  <c r="F3" i="5"/>
  <c r="L3" i="5"/>
  <c r="F8" i="5"/>
  <c r="L8" i="5"/>
  <c r="L16" i="5"/>
  <c r="L18" i="5"/>
  <c r="L4" i="5"/>
  <c r="F9" i="5"/>
  <c r="L9" i="5"/>
  <c r="L17" i="5"/>
  <c r="F14" i="5"/>
  <c r="L14" i="5"/>
  <c r="F4" i="5"/>
  <c r="F18" i="5"/>
  <c r="X5" i="5"/>
  <c r="L12" i="17"/>
  <c r="F6" i="5"/>
  <c r="F11" i="5"/>
  <c r="F17" i="5"/>
  <c r="F10" i="5"/>
  <c r="F16" i="5"/>
  <c r="X7" i="5" l="1"/>
  <c r="D66" i="18"/>
  <c r="D67" i="18" s="1"/>
  <c r="D63" i="18"/>
  <c r="D64" i="18" s="1"/>
  <c r="K26" i="18"/>
  <c r="K28" i="18"/>
  <c r="E61" i="18"/>
  <c r="E63" i="18" s="1"/>
  <c r="K5" i="18" l="1"/>
  <c r="K12" i="18" s="1"/>
  <c r="D13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tc={EF43D7ED-185C-4032-AA52-FB5B57B0F777}</author>
  </authors>
  <commentList>
    <comment ref="H91" authorId="0" shapeId="0" xr:uid="{EF43D7ED-185C-4032-AA52-FB5B57B0F777}">
      <text>
        <t>[Threaded comment]
Your version of Excel allows you to read this threaded comment; however, any edits to it will get removed if the file is opened in a newer version of Excel. Learn more: https://go.microsoft.com/fwlink/?linkid=870924
Comment:
    Matière 1ère + variation de stock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tc={8D370F15-BB26-46DC-95BD-9EFB23697D10}</author>
  </authors>
  <commentList>
    <comment ref="C58" authorId="0" shapeId="0" xr:uid="{8D370F15-BB26-46DC-95BD-9EFB23697D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Inclus cadeaux</t>
      </text>
    </comment>
  </commentList>
</comments>
</file>

<file path=xl/sharedStrings.xml><?xml version="1.0" encoding="utf-8"?>
<sst xmlns="http://schemas.openxmlformats.org/spreadsheetml/2006/main" count="376" uniqueCount="259">
  <si>
    <t>ANNEE 202X</t>
  </si>
  <si>
    <t>Donnée brute</t>
  </si>
  <si>
    <t>Unité</t>
  </si>
  <si>
    <t>Source de la donnée brute (suggérée sinon à préciser à la place de la suggestion)</t>
  </si>
  <si>
    <t>Précisions complémentaires sur la donnée brute</t>
  </si>
  <si>
    <t>Nature des précisions à journir sur la donnée brute</t>
  </si>
  <si>
    <t>Commentaire HENKA sur le calcul de la donnée</t>
  </si>
  <si>
    <t>Informations clés</t>
  </si>
  <si>
    <t>Année du Bilan Carbone®</t>
  </si>
  <si>
    <t>Nom de l'organisation</t>
  </si>
  <si>
    <t>Approche retenue (reco. Ademe))</t>
  </si>
  <si>
    <t>Effectifs de l'entreprise</t>
  </si>
  <si>
    <t>ETP</t>
  </si>
  <si>
    <t>Chiffre d'affaires</t>
  </si>
  <si>
    <t>M€</t>
  </si>
  <si>
    <t>Consommation d'énergie</t>
  </si>
  <si>
    <t>Electricité</t>
  </si>
  <si>
    <t>kWh</t>
  </si>
  <si>
    <t>Facture donnant la consommation annuelle</t>
  </si>
  <si>
    <t>Gaz</t>
  </si>
  <si>
    <t xml:space="preserve">Facture donnant la consommation annuelle </t>
  </si>
  <si>
    <t>Eau</t>
  </si>
  <si>
    <t>m3</t>
  </si>
  <si>
    <t>Chauffage / climatisation par PAC</t>
  </si>
  <si>
    <t>Modèle de PAC</t>
  </si>
  <si>
    <t>date d'achat:</t>
  </si>
  <si>
    <t>Puissance</t>
  </si>
  <si>
    <t>kW</t>
  </si>
  <si>
    <t>Immobilisations</t>
  </si>
  <si>
    <t>Durée d'amortissement restante</t>
  </si>
  <si>
    <t>Bâtiment</t>
  </si>
  <si>
    <t>m²</t>
  </si>
  <si>
    <t>Superficie et année de construction</t>
  </si>
  <si>
    <t>Année de construction</t>
  </si>
  <si>
    <t>Parking</t>
  </si>
  <si>
    <t>PC (portables?)</t>
  </si>
  <si>
    <t>nb</t>
  </si>
  <si>
    <t>Inventaire</t>
  </si>
  <si>
    <t>Année d'achat et périodicité de remplacement</t>
  </si>
  <si>
    <t>Téléphones portables</t>
  </si>
  <si>
    <t>si &gt; 500€ sinon comptabiliser en achats</t>
  </si>
  <si>
    <t>Téléphones fixes</t>
  </si>
  <si>
    <t>si leasing à basculer dans services</t>
  </si>
  <si>
    <t>Imprimantes</t>
  </si>
  <si>
    <t>Outillage: onglet Outillage à compléter</t>
  </si>
  <si>
    <t>y compris en leasing</t>
  </si>
  <si>
    <t>Liste à compléter le cas échéant pour d'autres postes significatifs (en quantité ou coût) non listés ci-dessus</t>
  </si>
  <si>
    <t>Achats</t>
  </si>
  <si>
    <t>Matières "premières" et matériaux de construction</t>
  </si>
  <si>
    <t>Acier</t>
  </si>
  <si>
    <t>k€ ou kg</t>
  </si>
  <si>
    <t>Comptabilité ou factures</t>
  </si>
  <si>
    <t>Cuivre</t>
  </si>
  <si>
    <t>nom de l'opérateur</t>
  </si>
  <si>
    <t>Aluminium</t>
  </si>
  <si>
    <t>nom de l'opérateur et type de box</t>
  </si>
  <si>
    <t>certaines box consomment 2 fois plus d'élec que les autres (équivalent alors à la conso d'un frigo)</t>
  </si>
  <si>
    <t>Bois</t>
  </si>
  <si>
    <t>nom de l'hébergeur</t>
  </si>
  <si>
    <t>Verre</t>
  </si>
  <si>
    <t>PVC</t>
  </si>
  <si>
    <t>liste des logiciels</t>
  </si>
  <si>
    <t>Pierre</t>
  </si>
  <si>
    <t>Ciment</t>
  </si>
  <si>
    <t>Béton</t>
  </si>
  <si>
    <t>Grave</t>
  </si>
  <si>
    <t>Granulat</t>
  </si>
  <si>
    <t>Bitume</t>
  </si>
  <si>
    <t>Isolant</t>
  </si>
  <si>
    <t>Parpaings</t>
  </si>
  <si>
    <t>Brique</t>
  </si>
  <si>
    <t>Peinture</t>
  </si>
  <si>
    <t>Menuiseries</t>
  </si>
  <si>
    <t>Liste à compléter le cas échéant</t>
  </si>
  <si>
    <t>Services</t>
  </si>
  <si>
    <t>k€</t>
  </si>
  <si>
    <t xml:space="preserve">Comptabilité ou factures </t>
  </si>
  <si>
    <t>Transport / livraison</t>
  </si>
  <si>
    <t>Liste à compléter parle cas échéant</t>
  </si>
  <si>
    <t>Déplacements des personnes de l'entreprise</t>
  </si>
  <si>
    <t xml:space="preserve">Domicile-travail </t>
  </si>
  <si>
    <t>Onglet Domicile-Travail à compléter</t>
  </si>
  <si>
    <t>Déplacements professionnels</t>
  </si>
  <si>
    <t xml:space="preserve">
onglet Véhicules à compléter (y compris si leasing)</t>
  </si>
  <si>
    <t>Indemnités kilométriques</t>
  </si>
  <si>
    <t>km</t>
  </si>
  <si>
    <t>comptabilité</t>
  </si>
  <si>
    <t>Trajet(s) en avion</t>
  </si>
  <si>
    <t>km.passagers</t>
  </si>
  <si>
    <t>les destinations A/R peuvent être indiquées avec le nombre de passagers concernés au lieu des distances</t>
  </si>
  <si>
    <t>Trajet(s) en train</t>
  </si>
  <si>
    <t>Déchets</t>
  </si>
  <si>
    <t>préciser si les équipements sont données pour être reconditionnés et réemployés par d'autres acteurs</t>
  </si>
  <si>
    <t>Issus des chantiers</t>
  </si>
  <si>
    <t>nb ou kg (à préciser)</t>
  </si>
  <si>
    <t>kg</t>
  </si>
  <si>
    <t>Facture enlèvement déchets</t>
  </si>
  <si>
    <t>Gravats</t>
  </si>
  <si>
    <t>Type d'outil</t>
  </si>
  <si>
    <t>Description</t>
  </si>
  <si>
    <t>Année d'achat</t>
  </si>
  <si>
    <t>Type d'énergie si motorisé (fioul, gazoil, gaz, élec)</t>
  </si>
  <si>
    <t xml:space="preserve">Quantité d'énergie consommée </t>
  </si>
  <si>
    <t>Unité d'énergie consommée</t>
  </si>
  <si>
    <t>Périodicité de remplacement ou durée de vie constaté en moyenne</t>
  </si>
  <si>
    <t>Durée d'utilisation (HENKA)</t>
  </si>
  <si>
    <t>HEURES</t>
  </si>
  <si>
    <t>Infos diverses
Les engins n'ont pas de KM mais des heures</t>
  </si>
  <si>
    <t>Type de véhicule</t>
  </si>
  <si>
    <t>Modèle</t>
  </si>
  <si>
    <t>Marque</t>
  </si>
  <si>
    <t>Poids (kg)</t>
  </si>
  <si>
    <t>Poids(kg) si année de mise en circulation (&lt;5ans)</t>
  </si>
  <si>
    <t>CV</t>
  </si>
  <si>
    <t>Date de 1ère mise en circulation</t>
  </si>
  <si>
    <t>Date d'acquisition</t>
  </si>
  <si>
    <t>Année d'acquisition</t>
  </si>
  <si>
    <t>Age du véhicule</t>
  </si>
  <si>
    <t>Véhicules amortis (âge &gt; 5 ans): 0 = amorti sinon 1</t>
  </si>
  <si>
    <t>Energie (Gasoil/Essence/Electrique)</t>
  </si>
  <si>
    <t>Usage: véhicule de fonction / de service / professionnel</t>
  </si>
  <si>
    <t>Utilisé pour le trajet domicile/travail: O/N</t>
  </si>
  <si>
    <t>Km  parcourus ou h d'utilisation ou kg consommés</t>
  </si>
  <si>
    <t>conso moy en L ou kWh ou kg/h ou 100km</t>
  </si>
  <si>
    <t>Consommation de carburant (L ou kg)</t>
  </si>
  <si>
    <t>Leasing / Possédé</t>
  </si>
  <si>
    <t>Commentaire</t>
  </si>
  <si>
    <t>€</t>
  </si>
  <si>
    <t>tC02e</t>
  </si>
  <si>
    <t>tC02e/véhicule ou chariot</t>
  </si>
  <si>
    <t>ELECTRIQUE</t>
  </si>
  <si>
    <t>DIESEL</t>
  </si>
  <si>
    <t>L</t>
  </si>
  <si>
    <t>Fuel</t>
  </si>
  <si>
    <t>Total</t>
  </si>
  <si>
    <t>Carburant/Motorisation</t>
  </si>
  <si>
    <t>Infos diverses :</t>
  </si>
  <si>
    <t>Données sur les déplacements domicile - travail</t>
  </si>
  <si>
    <t>Gazole</t>
  </si>
  <si>
    <t>Essence</t>
  </si>
  <si>
    <t>Electrique</t>
  </si>
  <si>
    <t>N° Employé (pas de nom)</t>
  </si>
  <si>
    <t>Adresse de résidence</t>
  </si>
  <si>
    <t>Adresse lieu de travail</t>
  </si>
  <si>
    <t>Nb Jours télétravaillés par semaine</t>
  </si>
  <si>
    <t>Nb allers/retours par semaine</t>
  </si>
  <si>
    <t xml:space="preserve">Marque et modèle de voiture </t>
  </si>
  <si>
    <t>Carburant</t>
  </si>
  <si>
    <t>Distance A/R (km)</t>
  </si>
  <si>
    <t>nb de km annuel</t>
  </si>
  <si>
    <t>conso L/100</t>
  </si>
  <si>
    <t>conso tot</t>
  </si>
  <si>
    <t>€/L</t>
  </si>
  <si>
    <t>cout total</t>
  </si>
  <si>
    <t>TOTAL</t>
  </si>
  <si>
    <t xml:space="preserve">Total Scope 3 </t>
  </si>
  <si>
    <t>ELEC</t>
  </si>
  <si>
    <t>EAU</t>
  </si>
  <si>
    <t>Période</t>
  </si>
  <si>
    <t>M3</t>
  </si>
  <si>
    <t>Janv</t>
  </si>
  <si>
    <t>Fév</t>
  </si>
  <si>
    <t>Mars</t>
  </si>
  <si>
    <t>Avril</t>
  </si>
  <si>
    <t>Mai</t>
  </si>
  <si>
    <t>Juin</t>
  </si>
  <si>
    <t>Juil</t>
  </si>
  <si>
    <t>Aout</t>
  </si>
  <si>
    <t>Sept</t>
  </si>
  <si>
    <t>Oct</t>
  </si>
  <si>
    <t>Nov</t>
  </si>
  <si>
    <t>Dec</t>
  </si>
  <si>
    <t>Fournisseurs</t>
  </si>
  <si>
    <t>Type de déchets</t>
  </si>
  <si>
    <t>ANNEE</t>
  </si>
  <si>
    <t>2024 au 31/08</t>
  </si>
  <si>
    <t>Hypothèses :mélange 50% papier/carton et 50% plastiques et 1000l = 650kg / FE moyen tout type de plastique pétrosourcé fin de vie moyenne: FE = 2000kgC02e/kg &gt; plastiques souples pétrosourcés fin d vie moyenne</t>
  </si>
  <si>
    <t>Unités</t>
  </si>
  <si>
    <t>Nb de dépôt ou de passage</t>
  </si>
  <si>
    <t>Poids total</t>
  </si>
  <si>
    <t>Poids en tonnes</t>
  </si>
  <si>
    <t>%</t>
  </si>
  <si>
    <t>Total en tonnes</t>
  </si>
  <si>
    <t>dont valorisable</t>
  </si>
  <si>
    <t>Description fourniture</t>
  </si>
  <si>
    <t>Quantité (tonnes)</t>
  </si>
  <si>
    <t>P.U. HT</t>
  </si>
  <si>
    <t>Montant H.T.</t>
  </si>
  <si>
    <t xml:space="preserve">NB : Cette feuille est utilisée seulement lorsqu'un bilan comptable est envoyé par le client et seulement si il n'y a pas d'autres informations que les approches monétaires disponibles. </t>
  </si>
  <si>
    <t>NB : Les comtpes à utiliser sont les comptes 600.</t>
  </si>
  <si>
    <t>Compte</t>
  </si>
  <si>
    <t>Intitulé</t>
  </si>
  <si>
    <t>Débit</t>
  </si>
  <si>
    <t>Crédit</t>
  </si>
  <si>
    <t>Solde</t>
  </si>
  <si>
    <t>type d'achat</t>
  </si>
  <si>
    <t>commentaire</t>
  </si>
  <si>
    <t>TOTAL (SCOPE 3)</t>
  </si>
  <si>
    <t>service</t>
  </si>
  <si>
    <t>petites fournitures</t>
  </si>
  <si>
    <t>entretien</t>
  </si>
  <si>
    <t>non</t>
  </si>
  <si>
    <t>autres déjà identifiés</t>
  </si>
  <si>
    <t>Bilan complet</t>
  </si>
  <si>
    <t>Emissions</t>
  </si>
  <si>
    <t>Incertitudes</t>
  </si>
  <si>
    <t>tC02e évitées</t>
  </si>
  <si>
    <t>surcoût (k€)</t>
  </si>
  <si>
    <t>Postes</t>
  </si>
  <si>
    <t>t CO2e</t>
  </si>
  <si>
    <t>Part relative</t>
  </si>
  <si>
    <t>Scope 3</t>
  </si>
  <si>
    <t>Matières 1ères et petit matériel</t>
  </si>
  <si>
    <t>Déplacements (carburant)</t>
  </si>
  <si>
    <t>Scope 1</t>
  </si>
  <si>
    <t>Services (location et entretien, banque, téléphonie…)</t>
  </si>
  <si>
    <t>Combustibles (Machines-Outils)</t>
  </si>
  <si>
    <t>Scope 2</t>
  </si>
  <si>
    <t>Electricité et climatisation</t>
  </si>
  <si>
    <t>Total kg C02e /m²</t>
  </si>
  <si>
    <t xml:space="preserve">POUR BENOIT : Tout ce qu'il y a en dessous je les calculs forcément manuellement.Ne pas prendre en compte. </t>
  </si>
  <si>
    <t>Intrants - biens et matières</t>
  </si>
  <si>
    <t>Action de réduction</t>
  </si>
  <si>
    <t>Relatives</t>
  </si>
  <si>
    <t>tC02 évitées</t>
  </si>
  <si>
    <t>surcoût (en k€)</t>
  </si>
  <si>
    <t/>
  </si>
  <si>
    <t>Ciment bas-carbone: -35 à -75% d'émissions de C02/ciment portland CEM I ou moyenne de l'ensemble des ciments</t>
  </si>
  <si>
    <t>EPI, fournitures admin. et petit matériel</t>
  </si>
  <si>
    <t>Fournitures admin et cadeaux</t>
  </si>
  <si>
    <t>Grave non traitée</t>
  </si>
  <si>
    <t>Grave recyclée</t>
  </si>
  <si>
    <t>Granulat: cailloux, gravillons, sable, terre</t>
  </si>
  <si>
    <t>Granulat recyclé</t>
  </si>
  <si>
    <t>Pavés et bordures récupérés</t>
  </si>
  <si>
    <t>vs enrobe bitumeux</t>
  </si>
  <si>
    <t>montrer l'interet d'utiliser des matières 1ères recyclées</t>
  </si>
  <si>
    <t>-25% d'émissions de C02 pour le granulat recyclé vs non recyclé</t>
  </si>
  <si>
    <t>Incertitude: part du transport dans les données financières sur les matières 1ères?? Mis à 0 ici</t>
  </si>
  <si>
    <t>Incertitude: nature, quantité et répartition des matières premières utilisées</t>
  </si>
  <si>
    <t>Intrants - services</t>
  </si>
  <si>
    <t>Location de matériel</t>
  </si>
  <si>
    <t>Services entretien/maintenance</t>
  </si>
  <si>
    <t>Autres services: études, documentation, banque, téléphonie, honoraires…</t>
  </si>
  <si>
    <t>Carburants des véhicules</t>
  </si>
  <si>
    <t>tonnes évitées</t>
  </si>
  <si>
    <t>remplacement des 7 Renault Master + 1 Daily Iveco + l'Audi Q3 par des électriques sur 5 ans</t>
  </si>
  <si>
    <t>Actions</t>
  </si>
  <si>
    <t>surcoût ou gain (en k€/an)</t>
  </si>
  <si>
    <t>Situation 2023</t>
  </si>
  <si>
    <t>Ciment bas-carbone</t>
  </si>
  <si>
    <t>100% Grave recyclée</t>
  </si>
  <si>
    <t>Fournitures admin.</t>
  </si>
  <si>
    <t>Loc.pelleteuses élec.</t>
  </si>
  <si>
    <t>Terre réutilisée s/ site</t>
  </si>
  <si>
    <t>Eco-conduite</t>
  </si>
  <si>
    <t>50% flotte en VE</t>
  </si>
  <si>
    <t>Cumul des actions</t>
  </si>
  <si>
    <t>tC02 évitées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</si>
</sst>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M€&quot;"/>
    <numFmt numFmtId="165" formatCode="#,##0\ &quot;km&quot;"/>
    <numFmt numFmtId="166" formatCode="_-* #,##0_-;\-* #,##0_-;_-* &quot;-&quot;??_-;_-@_-"/>
    <numFmt numFmtId="167" formatCode="_-* #,##0\ &quot;€&quot;_-;\-* #,##0\ &quot;€&quot;_-;_-* &quot;-&quot;??\ &quot;€&quot;_-;_-@_-"/>
    <numFmt numFmtId="168" formatCode="0.000"/>
    <numFmt numFmtId="169" formatCode="0.0"/>
    <numFmt numFmtId="170" formatCode="0.0%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7030A0"/>
      <name val="Calibri"/>
      <family val="2"/>
    </font>
    <font>
      <b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Arial MT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FFFF"/>
      <name val="Calibri"/>
      <family val="2"/>
    </font>
    <font>
      <i/>
      <sz val="11"/>
      <color theme="1"/>
      <name val="Calibri"/>
      <family val="2"/>
      <scheme val="minor"/>
    </font>
    <font>
      <sz val="13"/>
      <color rgb="FF282523"/>
      <name val="Arial"/>
      <family val="2"/>
    </font>
    <font>
      <sz val="10"/>
      <color rgb="FF282523"/>
      <name val="Arial"/>
      <family val="2"/>
    </font>
    <font>
      <sz val="11"/>
      <color rgb="FFFF0000"/>
      <name val="Calibri"/>
      <family val="2"/>
    </font>
    <font>
      <sz val="10"/>
      <color rgb="FF000000"/>
      <name val="Times New Roman"/>
      <family val="1"/>
    </font>
    <font>
      <b/>
      <i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darkVertical">
        <fgColor rgb="FF0046FE"/>
        <bgColor rgb="FF0046FE"/>
      </patternFill>
    </fill>
    <fill>
      <patternFill patternType="darkVertical">
        <fgColor rgb="FFFFFFFF"/>
        <bgColor rgb="FFFFFFFF"/>
      </patternFill>
    </fill>
    <fill>
      <patternFill patternType="darkVertical">
        <fgColor rgb="FFFFFFFF"/>
        <bgColor theme="8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</cellStyleXfs>
  <cellXfs count="2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0" xfId="0" applyFont="1"/>
    <xf numFmtId="0" fontId="2" fillId="2" borderId="0" xfId="0" applyFont="1" applyFill="1"/>
    <xf numFmtId="0" fontId="4" fillId="2" borderId="0" xfId="0" applyFont="1" applyFill="1"/>
    <xf numFmtId="165" fontId="0" fillId="0" borderId="1" xfId="0" applyNumberFormat="1" applyBorder="1"/>
    <xf numFmtId="0" fontId="6" fillId="0" borderId="0" xfId="0" applyFont="1"/>
    <xf numFmtId="0" fontId="7" fillId="3" borderId="0" xfId="0" applyFont="1" applyFill="1"/>
    <xf numFmtId="0" fontId="0" fillId="0" borderId="0" xfId="0" applyAlignment="1">
      <alignment wrapText="1"/>
    </xf>
    <xf numFmtId="0" fontId="7" fillId="3" borderId="0" xfId="0" applyFont="1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3" fillId="4" borderId="0" xfId="0" applyFont="1" applyFill="1"/>
    <xf numFmtId="0" fontId="0" fillId="5" borderId="0" xfId="0" applyFill="1"/>
    <xf numFmtId="0" fontId="0" fillId="5" borderId="0" xfId="0" applyFill="1" applyAlignment="1">
      <alignment wrapText="1"/>
    </xf>
    <xf numFmtId="0" fontId="0" fillId="5" borderId="0" xfId="0" applyFill="1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11" fillId="5" borderId="0" xfId="0" applyFont="1" applyFill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1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left" vertical="top" wrapText="1"/>
    </xf>
    <xf numFmtId="0" fontId="0" fillId="7" borderId="0" xfId="0" applyFill="1"/>
    <xf numFmtId="0" fontId="0" fillId="7" borderId="5" xfId="0" applyFill="1" applyBorder="1"/>
    <xf numFmtId="0" fontId="12" fillId="0" borderId="0" xfId="0" applyFont="1"/>
    <xf numFmtId="0" fontId="0" fillId="7" borderId="5" xfId="0" applyFill="1" applyBorder="1" applyAlignment="1">
      <alignment horizontal="left" wrapText="1"/>
    </xf>
    <xf numFmtId="0" fontId="12" fillId="0" borderId="0" xfId="0" applyFont="1" applyAlignment="1">
      <alignment wrapText="1"/>
    </xf>
    <xf numFmtId="0" fontId="12" fillId="0" borderId="1" xfId="0" applyFont="1" applyBorder="1" applyAlignment="1">
      <alignment wrapText="1"/>
    </xf>
    <xf numFmtId="0" fontId="0" fillId="8" borderId="1" xfId="0" applyFill="1" applyBorder="1"/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5" fillId="0" borderId="0" xfId="0" applyFont="1"/>
    <xf numFmtId="0" fontId="12" fillId="0" borderId="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/>
    </xf>
    <xf numFmtId="0" fontId="16" fillId="0" borderId="1" xfId="0" quotePrefix="1" applyFont="1" applyBorder="1" applyAlignment="1">
      <alignment horizontal="left"/>
    </xf>
    <xf numFmtId="165" fontId="16" fillId="0" borderId="1" xfId="0" applyNumberFormat="1" applyFont="1" applyBorder="1"/>
    <xf numFmtId="0" fontId="16" fillId="0" borderId="1" xfId="0" applyFont="1" applyBorder="1"/>
    <xf numFmtId="0" fontId="7" fillId="3" borderId="0" xfId="0" applyFont="1" applyFill="1" applyAlignment="1">
      <alignment horizontal="left" wrapText="1"/>
    </xf>
    <xf numFmtId="0" fontId="4" fillId="2" borderId="0" xfId="0" applyFont="1" applyFill="1" applyAlignment="1">
      <alignment horizontal="left"/>
    </xf>
    <xf numFmtId="0" fontId="0" fillId="7" borderId="5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164" fontId="0" fillId="4" borderId="4" xfId="0" applyNumberFormat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12" fillId="6" borderId="1" xfId="0" applyFont="1" applyFill="1" applyBorder="1" applyAlignment="1">
      <alignment wrapText="1"/>
    </xf>
    <xf numFmtId="0" fontId="0" fillId="6" borderId="1" xfId="0" applyFill="1" applyBorder="1"/>
    <xf numFmtId="0" fontId="0" fillId="10" borderId="0" xfId="0" applyFill="1"/>
    <xf numFmtId="0" fontId="17" fillId="0" borderId="1" xfId="0" applyFont="1" applyBorder="1" applyAlignment="1">
      <alignment vertical="center" wrapText="1"/>
    </xf>
    <xf numFmtId="1" fontId="0" fillId="0" borderId="0" xfId="0" applyNumberFormat="1"/>
    <xf numFmtId="0" fontId="20" fillId="0" borderId="1" xfId="0" applyFont="1" applyBorder="1" applyAlignment="1">
      <alignment vertical="center" wrapText="1"/>
    </xf>
    <xf numFmtId="8" fontId="0" fillId="0" borderId="0" xfId="0" applyNumberFormat="1"/>
    <xf numFmtId="0" fontId="0" fillId="0" borderId="0" xfId="0" applyAlignment="1">
      <alignment vertical="center"/>
    </xf>
    <xf numFmtId="0" fontId="22" fillId="0" borderId="1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23" fillId="0" borderId="0" xfId="0" applyFont="1" applyAlignment="1">
      <alignment vertical="top" wrapText="1"/>
    </xf>
    <xf numFmtId="9" fontId="0" fillId="0" borderId="0" xfId="1" applyFont="1"/>
    <xf numFmtId="0" fontId="24" fillId="0" borderId="0" xfId="0" applyFont="1"/>
    <xf numFmtId="2" fontId="24" fillId="0" borderId="0" xfId="0" applyNumberFormat="1" applyFont="1"/>
    <xf numFmtId="0" fontId="0" fillId="0" borderId="0" xfId="0" applyAlignment="1">
      <alignment horizontal="right" vertical="center"/>
    </xf>
    <xf numFmtId="0" fontId="22" fillId="0" borderId="20" xfId="0" applyFon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1" fontId="0" fillId="0" borderId="3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" fontId="0" fillId="0" borderId="0" xfId="0" applyNumberFormat="1" applyAlignment="1">
      <alignment vertical="center"/>
    </xf>
    <xf numFmtId="9" fontId="0" fillId="0" borderId="0" xfId="1" applyFont="1" applyBorder="1" applyAlignment="1">
      <alignment vertical="center"/>
    </xf>
    <xf numFmtId="9" fontId="0" fillId="0" borderId="0" xfId="0" applyNumberFormat="1"/>
    <xf numFmtId="0" fontId="26" fillId="12" borderId="1" xfId="0" applyFont="1" applyFill="1" applyBorder="1" applyAlignment="1">
      <alignment horizontal="center"/>
    </xf>
    <xf numFmtId="49" fontId="14" fillId="13" borderId="1" xfId="0" applyNumberFormat="1" applyFont="1" applyFill="1" applyBorder="1" applyAlignment="1">
      <alignment horizontal="left"/>
    </xf>
    <xf numFmtId="4" fontId="14" fillId="13" borderId="1" xfId="0" applyNumberFormat="1" applyFont="1" applyFill="1" applyBorder="1" applyAlignment="1">
      <alignment horizontal="right"/>
    </xf>
    <xf numFmtId="49" fontId="14" fillId="13" borderId="1" xfId="0" applyNumberFormat="1" applyFont="1" applyFill="1" applyBorder="1" applyAlignment="1">
      <alignment horizontal="right"/>
    </xf>
    <xf numFmtId="4" fontId="14" fillId="14" borderId="1" xfId="0" applyNumberFormat="1" applyFont="1" applyFill="1" applyBorder="1" applyAlignment="1">
      <alignment horizontal="right"/>
    </xf>
    <xf numFmtId="4" fontId="0" fillId="0" borderId="0" xfId="0" applyNumberFormat="1"/>
    <xf numFmtId="0" fontId="0" fillId="8" borderId="0" xfId="0" applyFill="1"/>
    <xf numFmtId="1" fontId="0" fillId="8" borderId="0" xfId="0" applyNumberFormat="1" applyFill="1"/>
    <xf numFmtId="166" fontId="0" fillId="0" borderId="0" xfId="2" applyNumberFormat="1" applyFont="1"/>
    <xf numFmtId="2" fontId="0" fillId="0" borderId="0" xfId="0" applyNumberFormat="1"/>
    <xf numFmtId="1" fontId="12" fillId="0" borderId="0" xfId="0" applyNumberFormat="1" applyFont="1"/>
    <xf numFmtId="9" fontId="12" fillId="0" borderId="0" xfId="1" applyFont="1"/>
    <xf numFmtId="2" fontId="12" fillId="0" borderId="0" xfId="0" applyNumberFormat="1" applyFont="1"/>
    <xf numFmtId="0" fontId="12" fillId="8" borderId="0" xfId="0" applyFont="1" applyFill="1"/>
    <xf numFmtId="0" fontId="0" fillId="0" borderId="0" xfId="0" quotePrefix="1"/>
    <xf numFmtId="9" fontId="0" fillId="0" borderId="0" xfId="1" applyFont="1" applyAlignment="1">
      <alignment vertical="center"/>
    </xf>
    <xf numFmtId="1" fontId="0" fillId="0" borderId="0" xfId="2" applyNumberFormat="1" applyFont="1"/>
    <xf numFmtId="1" fontId="0" fillId="0" borderId="0" xfId="2" quotePrefix="1" applyNumberFormat="1" applyFont="1"/>
    <xf numFmtId="0" fontId="15" fillId="0" borderId="1" xfId="0" applyFont="1" applyBorder="1"/>
    <xf numFmtId="0" fontId="9" fillId="0" borderId="1" xfId="0" applyFont="1" applyBorder="1"/>
    <xf numFmtId="0" fontId="0" fillId="0" borderId="1" xfId="0" applyBorder="1" applyAlignment="1">
      <alignment horizontal="center" vertical="center" wrapText="1"/>
    </xf>
    <xf numFmtId="17" fontId="0" fillId="0" borderId="0" xfId="0" applyNumberFormat="1"/>
    <xf numFmtId="166" fontId="0" fillId="0" borderId="1" xfId="2" applyNumberFormat="1" applyFont="1" applyFill="1" applyBorder="1"/>
    <xf numFmtId="0" fontId="0" fillId="0" borderId="1" xfId="0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24" fillId="16" borderId="1" xfId="0" applyFont="1" applyFill="1" applyBorder="1"/>
    <xf numFmtId="0" fontId="24" fillId="16" borderId="19" xfId="0" applyFont="1" applyFill="1" applyBorder="1"/>
    <xf numFmtId="0" fontId="0" fillId="15" borderId="0" xfId="0" applyFill="1"/>
    <xf numFmtId="0" fontId="0" fillId="0" borderId="1" xfId="0" applyBorder="1" applyAlignment="1">
      <alignment horizontal="right"/>
    </xf>
    <xf numFmtId="0" fontId="0" fillId="0" borderId="25" xfId="0" applyBorder="1" applyAlignment="1">
      <alignment horizontal="right"/>
    </xf>
    <xf numFmtId="1" fontId="0" fillId="0" borderId="25" xfId="0" applyNumberFormat="1" applyBorder="1" applyAlignment="1">
      <alignment horizontal="right"/>
    </xf>
    <xf numFmtId="1" fontId="12" fillId="0" borderId="25" xfId="0" applyNumberFormat="1" applyFont="1" applyBorder="1"/>
    <xf numFmtId="1" fontId="12" fillId="0" borderId="26" xfId="0" applyNumberFormat="1" applyFont="1" applyBorder="1" applyAlignment="1">
      <alignment horizontal="right"/>
    </xf>
    <xf numFmtId="170" fontId="0" fillId="0" borderId="0" xfId="0" applyNumberFormat="1"/>
    <xf numFmtId="1" fontId="9" fillId="4" borderId="1" xfId="0" applyNumberFormat="1" applyFont="1" applyFill="1" applyBorder="1"/>
    <xf numFmtId="1" fontId="0" fillId="4" borderId="1" xfId="0" applyNumberFormat="1" applyFill="1" applyBorder="1"/>
    <xf numFmtId="1" fontId="0" fillId="15" borderId="1" xfId="0" applyNumberFormat="1" applyFill="1" applyBorder="1"/>
    <xf numFmtId="1" fontId="0" fillId="8" borderId="1" xfId="0" applyNumberFormat="1" applyFill="1" applyBorder="1"/>
    <xf numFmtId="1" fontId="0" fillId="15" borderId="0" xfId="0" applyNumberFormat="1" applyFill="1"/>
    <xf numFmtId="1" fontId="0" fillId="4" borderId="0" xfId="0" applyNumberFormat="1" applyFill="1"/>
    <xf numFmtId="0" fontId="0" fillId="0" borderId="1" xfId="0" applyBorder="1" applyAlignment="1">
      <alignment horizontal="center"/>
    </xf>
    <xf numFmtId="0" fontId="18" fillId="0" borderId="1" xfId="0" applyFont="1" applyBorder="1"/>
    <xf numFmtId="14" fontId="0" fillId="0" borderId="1" xfId="0" applyNumberFormat="1" applyBorder="1"/>
    <xf numFmtId="0" fontId="21" fillId="0" borderId="1" xfId="0" applyFont="1" applyBorder="1"/>
    <xf numFmtId="0" fontId="18" fillId="0" borderId="6" xfId="0" applyFont="1" applyBorder="1"/>
    <xf numFmtId="0" fontId="0" fillId="0" borderId="6" xfId="0" applyBorder="1" applyAlignment="1">
      <alignment horizontal="center"/>
    </xf>
    <xf numFmtId="14" fontId="0" fillId="0" borderId="6" xfId="0" applyNumberFormat="1" applyBorder="1"/>
    <xf numFmtId="0" fontId="21" fillId="0" borderId="6" xfId="0" applyFont="1" applyBorder="1"/>
    <xf numFmtId="0" fontId="0" fillId="0" borderId="6" xfId="0" applyBorder="1"/>
    <xf numFmtId="0" fontId="14" fillId="0" borderId="1" xfId="0" applyFont="1" applyBorder="1"/>
    <xf numFmtId="0" fontId="18" fillId="0" borderId="0" xfId="0" applyFont="1"/>
    <xf numFmtId="14" fontId="0" fillId="0" borderId="0" xfId="0" applyNumberFormat="1"/>
    <xf numFmtId="0" fontId="21" fillId="0" borderId="0" xfId="0" applyFont="1"/>
    <xf numFmtId="166" fontId="0" fillId="0" borderId="0" xfId="2" applyNumberFormat="1" applyFont="1" applyFill="1" applyBorder="1"/>
    <xf numFmtId="0" fontId="14" fillId="0" borderId="0" xfId="0" applyFont="1"/>
    <xf numFmtId="166" fontId="0" fillId="0" borderId="0" xfId="2" applyNumberFormat="1" applyFont="1" applyFill="1"/>
    <xf numFmtId="1" fontId="14" fillId="0" borderId="1" xfId="0" applyNumberFormat="1" applyFont="1" applyBorder="1" applyAlignment="1">
      <alignment wrapText="1"/>
    </xf>
    <xf numFmtId="169" fontId="0" fillId="0" borderId="0" xfId="0" applyNumberFormat="1"/>
    <xf numFmtId="167" fontId="9" fillId="0" borderId="0" xfId="3" applyNumberFormat="1" applyFont="1" applyFill="1"/>
    <xf numFmtId="0" fontId="19" fillId="0" borderId="0" xfId="0" applyFont="1"/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wrapText="1"/>
    </xf>
    <xf numFmtId="0" fontId="30" fillId="0" borderId="0" xfId="0" applyFont="1"/>
    <xf numFmtId="0" fontId="14" fillId="0" borderId="0" xfId="0" applyFont="1" applyAlignment="1">
      <alignment wrapText="1"/>
    </xf>
    <xf numFmtId="0" fontId="9" fillId="0" borderId="1" xfId="0" quotePrefix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1" fillId="0" borderId="1" xfId="0" applyFont="1" applyBorder="1"/>
    <xf numFmtId="1" fontId="0" fillId="11" borderId="0" xfId="0" applyNumberFormat="1" applyFill="1"/>
    <xf numFmtId="0" fontId="0" fillId="11" borderId="0" xfId="0" applyFill="1"/>
    <xf numFmtId="0" fontId="0" fillId="0" borderId="0" xfId="0" applyAlignment="1">
      <alignment horizontal="right"/>
    </xf>
    <xf numFmtId="0" fontId="0" fillId="4" borderId="0" xfId="0" applyFill="1" applyAlignment="1">
      <alignment horizontal="right" wrapText="1"/>
    </xf>
    <xf numFmtId="1" fontId="0" fillId="4" borderId="0" xfId="0" applyNumberFormat="1" applyFill="1" applyAlignment="1">
      <alignment wrapText="1"/>
    </xf>
    <xf numFmtId="17" fontId="0" fillId="0" borderId="0" xfId="0" applyNumberFormat="1" applyAlignment="1">
      <alignment wrapText="1"/>
    </xf>
    <xf numFmtId="0" fontId="13" fillId="0" borderId="0" xfId="0" applyFont="1"/>
    <xf numFmtId="0" fontId="32" fillId="0" borderId="0" xfId="0" applyFont="1"/>
    <xf numFmtId="0" fontId="22" fillId="0" borderId="12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13" fillId="0" borderId="0" xfId="0" applyFont="1" applyAlignment="1">
      <alignment vertical="center"/>
    </xf>
    <xf numFmtId="167" fontId="12" fillId="0" borderId="0" xfId="3" applyNumberFormat="1" applyFont="1" applyFill="1" applyAlignment="1">
      <alignment vertical="center"/>
    </xf>
    <xf numFmtId="167" fontId="0" fillId="0" borderId="0" xfId="0" applyNumberFormat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9" fontId="0" fillId="0" borderId="0" xfId="1" applyFont="1" applyFill="1" applyBorder="1" applyAlignment="1">
      <alignment vertical="center"/>
    </xf>
    <xf numFmtId="0" fontId="0" fillId="0" borderId="16" xfId="0" applyBorder="1" applyAlignment="1">
      <alignment horizontal="center" vertical="center"/>
    </xf>
    <xf numFmtId="168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9" fontId="0" fillId="0" borderId="3" xfId="0" applyNumberFormat="1" applyBorder="1" applyAlignment="1">
      <alignment vertical="center"/>
    </xf>
    <xf numFmtId="0" fontId="0" fillId="0" borderId="17" xfId="0" applyBorder="1" applyAlignment="1">
      <alignment horizontal="center" vertical="center"/>
    </xf>
    <xf numFmtId="168" fontId="0" fillId="0" borderId="24" xfId="0" applyNumberFormat="1" applyBorder="1" applyAlignment="1">
      <alignment horizontal="center" vertical="center"/>
    </xf>
    <xf numFmtId="1" fontId="0" fillId="0" borderId="4" xfId="0" applyNumberFormat="1" applyBorder="1" applyAlignment="1">
      <alignment vertical="center"/>
    </xf>
    <xf numFmtId="3" fontId="12" fillId="0" borderId="0" xfId="0" applyNumberFormat="1" applyFont="1" applyAlignment="1">
      <alignment vertical="center"/>
    </xf>
    <xf numFmtId="3" fontId="12" fillId="11" borderId="0" xfId="0" applyNumberFormat="1" applyFont="1" applyFill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167" fontId="0" fillId="0" borderId="0" xfId="3" applyNumberFormat="1" applyFont="1" applyFill="1"/>
    <xf numFmtId="167" fontId="0" fillId="0" borderId="0" xfId="0" applyNumberFormat="1"/>
    <xf numFmtId="0" fontId="25" fillId="4" borderId="0" xfId="0" applyFont="1" applyFill="1"/>
    <xf numFmtId="3" fontId="0" fillId="0" borderId="0" xfId="0" applyNumberFormat="1"/>
    <xf numFmtId="1" fontId="12" fillId="0" borderId="0" xfId="0" applyNumberFormat="1" applyFont="1" applyAlignment="1">
      <alignment horizontal="right"/>
    </xf>
    <xf numFmtId="0" fontId="27" fillId="0" borderId="0" xfId="0" applyFont="1"/>
    <xf numFmtId="167" fontId="27" fillId="0" borderId="0" xfId="3" applyNumberFormat="1" applyFont="1" applyFill="1"/>
    <xf numFmtId="1" fontId="27" fillId="0" borderId="0" xfId="0" applyNumberFormat="1" applyFont="1"/>
    <xf numFmtId="3" fontId="12" fillId="0" borderId="0" xfId="0" applyNumberFormat="1" applyFont="1"/>
    <xf numFmtId="9" fontId="0" fillId="0" borderId="0" xfId="1" applyFont="1" applyFill="1"/>
    <xf numFmtId="0" fontId="12" fillId="0" borderId="0" xfId="0" applyFont="1" applyAlignment="1">
      <alignment horizontal="left"/>
    </xf>
    <xf numFmtId="9" fontId="12" fillId="0" borderId="0" xfId="1" applyFont="1" applyFill="1"/>
    <xf numFmtId="168" fontId="0" fillId="0" borderId="0" xfId="0" applyNumberFormat="1"/>
    <xf numFmtId="0" fontId="28" fillId="0" borderId="0" xfId="0" applyFont="1" applyAlignment="1">
      <alignment horizontal="left" vertical="center" wrapText="1" indent="1"/>
    </xf>
    <xf numFmtId="0" fontId="29" fillId="0" borderId="0" xfId="0" applyFont="1" applyAlignment="1">
      <alignment horizontal="left" vertical="center" wrapText="1" indent="1"/>
    </xf>
    <xf numFmtId="6" fontId="0" fillId="0" borderId="0" xfId="0" applyNumberFormat="1"/>
    <xf numFmtId="167" fontId="12" fillId="0" borderId="0" xfId="3" applyNumberFormat="1" applyFont="1" applyFill="1"/>
    <xf numFmtId="166" fontId="12" fillId="0" borderId="0" xfId="2" applyNumberFormat="1" applyFont="1" applyFill="1"/>
    <xf numFmtId="166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left" vertical="top" wrapText="1"/>
    </xf>
    <xf numFmtId="0" fontId="0" fillId="1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18" xfId="0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0" borderId="1" xfId="0" applyFont="1" applyBorder="1"/>
    <xf numFmtId="0" fontId="28" fillId="0" borderId="0" xfId="0" applyFont="1" applyAlignment="1">
      <alignment horizontal="left" vertical="center" indent="1"/>
    </xf>
  </cellXfs>
  <cellStyles count="6">
    <cellStyle name="Milliers" xfId="2" builtinId="3"/>
    <cellStyle name="Monétaire" xfId="3" builtinId="4"/>
    <cellStyle name="Normal" xfId="0" builtinId="0"/>
    <cellStyle name="Normal 2" xfId="4" xr:uid="{10F9CA5D-58E9-4BB2-8601-3A965DD325D5}"/>
    <cellStyle name="Pourcentage" xfId="1" builtinId="5"/>
    <cellStyle name="Pourcentage 2" xfId="5" xr:uid="{818D0148-948E-47A3-B218-D354D2C1BD7A}"/>
  </cellStyles>
  <dxfs count="0"/>
  <tableStyles count="0" defaultTableStyle="TableStyleMedium9" defaultPivotStyle="PivotStyleLight16"/>
  <colors>
    <mruColors>
      <color rgb="FFF41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aseline="0"/>
              <a:t>Matières et petit matériel: répartition des émissions de C02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893202233877494"/>
          <c:y val="0.18594279629188384"/>
          <c:w val="0.45570582212146826"/>
          <c:h val="0.785607514903205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27-48EE-9BFB-3768C801BC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27-48EE-9BFB-3768C801BC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27-48EE-9BFB-3768C801BC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27-48EE-9BFB-3768C801BC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27-48EE-9BFB-3768C801BC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727-48EE-9BFB-3768C801BC02}"/>
              </c:ext>
            </c:extLst>
          </c:dPt>
          <c:dLbls>
            <c:dLbl>
              <c:idx val="5"/>
              <c:layout>
                <c:manualLayout>
                  <c:x val="2.0442930153322016E-2"/>
                  <c:y val="-8.9736291600042501E-1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27-48EE-9BFB-3768C801BC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'Recap C02'!$C$26:$C$31</c:f>
              <c:strCache>
                <c:ptCount val="6"/>
                <c:pt idx="0">
                  <c:v>Ciment</c:v>
                </c:pt>
                <c:pt idx="1">
                  <c:v>EPI, fournitures admin. et petit matériel</c:v>
                </c:pt>
                <c:pt idx="2">
                  <c:v>Grave non traitée</c:v>
                </c:pt>
                <c:pt idx="3">
                  <c:v>Granulat: cailloux, gravillons, sable, terre</c:v>
                </c:pt>
                <c:pt idx="4">
                  <c:v>Pavés et bordures récupérés</c:v>
                </c:pt>
                <c:pt idx="5">
                  <c:v>Grave recyclée</c:v>
                </c:pt>
              </c:strCache>
            </c:strRef>
          </c:cat>
          <c:val>
            <c:numRef>
              <c:f>'Recap C02'!$D$26:$D$31</c:f>
              <c:numCache>
                <c:formatCode>0</c:formatCode>
                <c:ptCount val="6"/>
                <c:pt idx="0">
                  <c:v>156</c:v>
                </c:pt>
                <c:pt idx="1">
                  <c:v>58</c:v>
                </c:pt>
                <c:pt idx="2">
                  <c:v>53</c:v>
                </c:pt>
                <c:pt idx="3">
                  <c:v>50</c:v>
                </c:pt>
                <c:pt idx="4">
                  <c:v>3</c:v>
                </c:pt>
                <c:pt idx="5">
                  <c:v>0.82699999999999996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5-439F-BDD6-16685C8F3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35985727508084"/>
          <c:y val="0.17075524579882848"/>
          <c:w val="0.32901152262270456"/>
          <c:h val="0.823305671882197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Emissions de C02 relatives des 3 types de service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92-4C4F-B56B-DB58667E60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92-4C4F-B56B-DB58667E60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92-4C4F-B56B-DB58667E60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'Recap C02'!$C$42:$C$44</c:f>
              <c:strCache>
                <c:ptCount val="3"/>
                <c:pt idx="0">
                  <c:v>Location de matériel</c:v>
                </c:pt>
                <c:pt idx="1">
                  <c:v>Services entretien/maintenance</c:v>
                </c:pt>
                <c:pt idx="2">
                  <c:v>Autres services: études, documentation, banque, téléphonie, honoraires…</c:v>
                </c:pt>
              </c:strCache>
            </c:strRef>
          </c:cat>
          <c:val>
            <c:numRef>
              <c:f>'Recap C02'!$D$42:$D$44</c:f>
              <c:numCache>
                <c:formatCode>0</c:formatCode>
                <c:ptCount val="3"/>
                <c:pt idx="0">
                  <c:v>31</c:v>
                </c:pt>
                <c:pt idx="1">
                  <c:v>14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5-48FF-801C-DF4B178C1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Répartitions par</a:t>
            </a:r>
            <a:r>
              <a:rPr lang="fr-FR" baseline="0"/>
              <a:t> scope: émissions directes/indirectes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1-42B8-990B-8F6FC6DDB0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D5-4282-8BA2-CE2AFA092EA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1-42B8-990B-8F6FC6DDB08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71AFA6D-A97A-4273-9824-8F058F6AE3C4}" type="PERCENTAGE">
                      <a:rPr lang="en-US" baseline="0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2A1-42B8-990B-8F6FC6DDB0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EA33B17-E9BF-4114-AA8F-7D780C0E08E5}" type="PERCENTAGE">
                      <a:rPr lang="en-US" baseline="0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2A1-42B8-990B-8F6FC6DDB0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'Recap C02'!$C$15:$C$17</c:f>
              <c:strCache>
                <c:ptCount val="3"/>
                <c:pt idx="0">
                  <c:v>Scope 1</c:v>
                </c:pt>
                <c:pt idx="1">
                  <c:v>Scope 2</c:v>
                </c:pt>
                <c:pt idx="2">
                  <c:v>Scope 3</c:v>
                </c:pt>
              </c:strCache>
            </c:strRef>
          </c:cat>
          <c:val>
            <c:numRef>
              <c:f>'Recap C02'!$D$15:$D$17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1-42B8-990B-8F6FC6DDB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émissions par types de</a:t>
            </a:r>
            <a:r>
              <a:rPr lang="fr-FR" baseline="0"/>
              <a:t> postes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78215223097113"/>
          <c:y val="0.16322202996298169"/>
          <c:w val="0.47898627129440147"/>
          <c:h val="0.7655870785616313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47-48C9-9C6A-399D4AE8ECD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47-48C9-9C6A-399D4AE8ECD5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47-48C9-9C6A-399D4AE8ECD5}"/>
              </c:ext>
            </c:extLst>
          </c:dPt>
          <c:dPt>
            <c:idx val="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47-48C9-9C6A-399D4AE8ECD5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747-48C9-9C6A-399D4AE8EC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747-48C9-9C6A-399D4AE8EC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747-48C9-9C6A-399D4AE8EC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'Recap C02'!$C$5:$C$11</c:f>
              <c:strCache>
                <c:ptCount val="7"/>
                <c:pt idx="0">
                  <c:v>Matières 1ères et petit matériel</c:v>
                </c:pt>
                <c:pt idx="1">
                  <c:v>Déplacements (carburant)</c:v>
                </c:pt>
                <c:pt idx="2">
                  <c:v>Services (location et entretien, banque, téléphonie…)</c:v>
                </c:pt>
                <c:pt idx="3">
                  <c:v>Déchets</c:v>
                </c:pt>
                <c:pt idx="4">
                  <c:v>Immobilisations</c:v>
                </c:pt>
                <c:pt idx="5">
                  <c:v>Combustibles (Machines-Outils)</c:v>
                </c:pt>
                <c:pt idx="6">
                  <c:v>Electricité et climatisation</c:v>
                </c:pt>
              </c:strCache>
            </c:strRef>
          </c:cat>
          <c:val>
            <c:numRef>
              <c:f>'Recap C02'!$E$5:$E$11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E-4C9D-9B01-7C30FB87F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Réduction des émissions de C02 actuelles pour chaque action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Réduction des émissions de C02 actuelles pour chaque action</a:t>
          </a:r>
        </a:p>
      </cx:txPr>
    </cx:title>
    <cx:plotArea>
      <cx:plotAreaRegion>
        <cx:series layoutId="waterfall" uniqueId="{F7DEE400-DF17-4D97-9323-9D88050EC4E6}">
          <cx:dataPt idx="8">
            <cx:spPr>
              <a:solidFill>
                <a:srgbClr val="9BBB59"/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  <cx:dataLabel idx="8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fr-FR" sz="900" b="0" i="0" u="none" strike="noStrike" baseline="0">
                      <a:solidFill>
                        <a:sysClr val="windowText" lastClr="000000"/>
                      </a:solidFill>
                      <a:latin typeface="Calibri"/>
                    </a:rPr>
                    <a:t> 376 </a:t>
                  </a:r>
                </a:p>
              </cx:txPr>
              <cx:visibility seriesName="0" categoryName="0" value="1"/>
            </cx:dataLabel>
          </cx:dataLabels>
          <cx:dataId val="0"/>
          <cx:layoutPr>
            <cx:subtotals>
              <cx:idx val="8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fr-FR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 min="300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Surcoût ou gain en k€ de chaque action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Surcoût ou gain en k€ de chaque action</a:t>
          </a:r>
        </a:p>
      </cx:txPr>
    </cx:title>
    <cx:plotArea>
      <cx:plotAreaRegion>
        <cx:series layoutId="waterfall" uniqueId="{ECE3A141-502A-467A-B3EE-946211521554}"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>
              <cx:idx val="8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in="-40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533399</xdr:colOff>
      <xdr:row>20</xdr:row>
      <xdr:rowOff>123825</xdr:rowOff>
    </xdr:from>
    <xdr:to>
      <xdr:col>19</xdr:col>
      <xdr:colOff>28574</xdr:colOff>
      <xdr:row>35</xdr:row>
      <xdr:rowOff>128587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4920929-50AB-62AF-2A45-8A12E233B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542925</xdr:colOff>
      <xdr:row>35</xdr:row>
      <xdr:rowOff>176212</xdr:rowOff>
    </xdr:from>
    <xdr:to>
      <xdr:col>16</xdr:col>
      <xdr:colOff>495300</xdr:colOff>
      <xdr:row>46</xdr:row>
      <xdr:rowOff>61912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CDC2192-BFDA-5EEF-949A-8A8821F31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529590</xdr:colOff>
      <xdr:row>0</xdr:row>
      <xdr:rowOff>150495</xdr:rowOff>
    </xdr:from>
    <xdr:to>
      <xdr:col>23</xdr:col>
      <xdr:colOff>758190</xdr:colOff>
      <xdr:row>19</xdr:row>
      <xdr:rowOff>30480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3CA1B5D-7871-9A4D-4579-5B22D24FF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352425</xdr:colOff>
      <xdr:row>0</xdr:row>
      <xdr:rowOff>176211</xdr:rowOff>
    </xdr:from>
    <xdr:to>
      <xdr:col>18</xdr:col>
      <xdr:colOff>552450</xdr:colOff>
      <xdr:row>19</xdr:row>
      <xdr:rowOff>19050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4627097-114F-85B2-6AAF-6E775106F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466724</xdr:colOff>
      <xdr:row>53</xdr:row>
      <xdr:rowOff>62865</xdr:rowOff>
    </xdr:from>
    <xdr:to>
      <xdr:col>16</xdr:col>
      <xdr:colOff>662940</xdr:colOff>
      <xdr:row>73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829CCDFC-2F62-3ADC-A117-660D3FE956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</xdr:col>
      <xdr:colOff>463866</xdr:colOff>
      <xdr:row>68</xdr:row>
      <xdr:rowOff>25716</xdr:rowOff>
    </xdr:from>
    <xdr:to>
      <xdr:col>9</xdr:col>
      <xdr:colOff>76200</xdr:colOff>
      <xdr:row>90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aphique 7">
              <a:extLst>
                <a:ext uri="{FF2B5EF4-FFF2-40B4-BE49-F238E27FC236}">
                  <a16:creationId xmlns:a16="http://schemas.microsoft.com/office/drawing/2014/main" id="{82F77C61-E270-F081-9EDA-6976B46A78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ielle Mocco" id="{6A965AB5-507C-4F21-8BED-17AC3E28365B}" userId="851f629acfbfd796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91" dT="2024-10-28T11:39:26.93" personId="{6A965AB5-507C-4F21-8BED-17AC3E28365B}" id="{EF43D7ED-185C-4032-AA52-FB5B57B0F777}">
    <text>Matière 1ère + variation de stock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8" dT="2024-10-29T21:03:46.61" personId="{6A965AB5-507C-4F21-8BED-17AC3E28365B}" id="{8D370F15-BB26-46DC-95BD-9EFB23697D10}">
    <text>Inclus cadeaux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workbookViewId="0"/>
  </sheetViews>
  <sheetFormatPr defaultColWidth="11.42578125" defaultRowHeight="14.45"/>
  <cols>
    <col min="1" max="1" width="49.140625" customWidth="1"/>
    <col min="2" max="2" width="24.42578125" style="1" customWidth="1"/>
    <col min="3" max="3" width="18.5703125" customWidth="1"/>
    <col min="4" max="4" width="44.7109375" customWidth="1"/>
    <col min="5" max="5" width="30.7109375" customWidth="1"/>
    <col min="6" max="6" width="36.42578125" customWidth="1"/>
    <col min="7" max="7" width="8" hidden="1" customWidth="1"/>
    <col min="8" max="8" width="38" hidden="1" customWidth="1"/>
  </cols>
  <sheetData>
    <row r="1" spans="1:8" ht="42" customHeight="1">
      <c r="A1" s="20" t="s">
        <v>0</v>
      </c>
      <c r="B1" s="48" t="s">
        <v>1</v>
      </c>
      <c r="C1" s="11" t="s">
        <v>2</v>
      </c>
      <c r="D1" s="13" t="s">
        <v>3</v>
      </c>
      <c r="E1" s="13" t="s">
        <v>4</v>
      </c>
      <c r="F1" s="23" t="s">
        <v>5</v>
      </c>
      <c r="G1" s="26"/>
      <c r="H1" s="23" t="s">
        <v>6</v>
      </c>
    </row>
    <row r="2" spans="1:8">
      <c r="A2" s="8" t="s">
        <v>7</v>
      </c>
      <c r="B2" s="49"/>
      <c r="C2" s="8"/>
      <c r="D2" s="7"/>
      <c r="E2" s="7"/>
      <c r="F2" s="7"/>
      <c r="G2" s="27"/>
      <c r="H2" s="7"/>
    </row>
    <row r="3" spans="1:8" s="29" customFormat="1" ht="59.25" customHeight="1">
      <c r="A3" s="32"/>
      <c r="B3" s="50"/>
      <c r="C3" s="30"/>
      <c r="D3" s="30"/>
      <c r="E3" s="30"/>
      <c r="F3" s="30"/>
    </row>
    <row r="4" spans="1:8">
      <c r="A4" s="1"/>
      <c r="B4" s="51"/>
      <c r="C4" s="14"/>
      <c r="D4" s="14"/>
      <c r="E4" s="14"/>
      <c r="F4" s="17"/>
      <c r="H4" s="17"/>
    </row>
    <row r="5" spans="1:8">
      <c r="A5" t="s">
        <v>8</v>
      </c>
      <c r="B5" s="52"/>
      <c r="C5" s="14"/>
      <c r="D5" s="14"/>
      <c r="E5" s="14"/>
      <c r="F5" s="17"/>
      <c r="H5" s="17"/>
    </row>
    <row r="6" spans="1:8">
      <c r="A6" t="s">
        <v>9</v>
      </c>
      <c r="B6" s="53"/>
      <c r="C6" s="14"/>
      <c r="D6" s="14"/>
      <c r="E6" s="14"/>
      <c r="F6" s="17"/>
      <c r="H6" s="17"/>
    </row>
    <row r="7" spans="1:8">
      <c r="A7" t="s">
        <v>10</v>
      </c>
      <c r="B7" s="55"/>
      <c r="C7" s="14"/>
      <c r="D7" s="14"/>
      <c r="E7" s="14"/>
      <c r="F7" s="17"/>
      <c r="H7" s="17"/>
    </row>
    <row r="8" spans="1:8" ht="15" customHeight="1">
      <c r="B8" s="51"/>
      <c r="C8" s="14"/>
      <c r="D8" s="14"/>
      <c r="E8" s="14"/>
      <c r="F8" s="17"/>
      <c r="H8" s="17"/>
    </row>
    <row r="9" spans="1:8" ht="15" customHeight="1">
      <c r="B9" s="51"/>
      <c r="C9" s="14"/>
      <c r="D9" s="14"/>
      <c r="E9" s="14"/>
      <c r="F9" s="17"/>
      <c r="H9" s="17"/>
    </row>
    <row r="10" spans="1:8">
      <c r="A10" t="s">
        <v>11</v>
      </c>
      <c r="B10" s="52"/>
      <c r="C10" s="14" t="s">
        <v>12</v>
      </c>
      <c r="D10" s="14"/>
      <c r="E10" s="14"/>
      <c r="F10" s="17"/>
      <c r="H10" s="17"/>
    </row>
    <row r="11" spans="1:8">
      <c r="A11" t="s">
        <v>13</v>
      </c>
      <c r="B11" s="54"/>
      <c r="C11" s="14" t="s">
        <v>14</v>
      </c>
      <c r="D11" s="14"/>
      <c r="E11" s="14"/>
      <c r="F11" s="17"/>
      <c r="H11" s="17"/>
    </row>
    <row r="12" spans="1:8">
      <c r="B12" s="51"/>
      <c r="C12" s="14"/>
      <c r="D12" s="14"/>
      <c r="E12" s="14"/>
      <c r="F12" s="17"/>
      <c r="H12" s="17"/>
    </row>
    <row r="13" spans="1:8">
      <c r="B13" s="51"/>
      <c r="C13" s="14"/>
      <c r="D13" s="14"/>
      <c r="E13" s="14"/>
      <c r="F13" s="17"/>
      <c r="H13" s="17"/>
    </row>
    <row r="14" spans="1:8">
      <c r="A14" s="8" t="s">
        <v>15</v>
      </c>
      <c r="B14" s="49"/>
      <c r="C14" s="8"/>
      <c r="D14" s="8"/>
      <c r="E14" s="8"/>
      <c r="F14" s="8"/>
      <c r="G14" s="25"/>
      <c r="H14" s="8"/>
    </row>
    <row r="15" spans="1:8">
      <c r="B15" s="51"/>
      <c r="C15" s="14"/>
      <c r="D15" s="14"/>
      <c r="E15" s="14"/>
      <c r="F15" s="17"/>
      <c r="H15" s="17"/>
    </row>
    <row r="16" spans="1:8">
      <c r="A16" t="s">
        <v>16</v>
      </c>
      <c r="B16" s="52"/>
      <c r="C16" s="14" t="s">
        <v>17</v>
      </c>
      <c r="D16" s="14" t="s">
        <v>18</v>
      </c>
      <c r="E16" s="14"/>
      <c r="F16" s="17"/>
      <c r="H16" s="17"/>
    </row>
    <row r="17" spans="1:10">
      <c r="A17" t="s">
        <v>19</v>
      </c>
      <c r="B17" s="53"/>
      <c r="C17" s="14" t="s">
        <v>17</v>
      </c>
      <c r="D17" s="14" t="s">
        <v>20</v>
      </c>
      <c r="E17" s="14"/>
      <c r="F17" s="17"/>
      <c r="H17" s="17"/>
    </row>
    <row r="18" spans="1:10">
      <c r="A18" s="154" t="s">
        <v>21</v>
      </c>
      <c r="B18" s="55"/>
      <c r="C18" s="14" t="s">
        <v>22</v>
      </c>
      <c r="D18" s="14" t="s">
        <v>20</v>
      </c>
      <c r="E18" s="14"/>
      <c r="F18" s="17"/>
      <c r="H18" s="17"/>
    </row>
    <row r="19" spans="1:10">
      <c r="B19" s="51"/>
      <c r="C19" s="14"/>
      <c r="D19" s="14"/>
      <c r="E19" s="14"/>
      <c r="F19" s="17"/>
      <c r="H19" s="17"/>
    </row>
    <row r="20" spans="1:10">
      <c r="B20" s="51"/>
      <c r="C20" s="14"/>
      <c r="D20" s="14"/>
      <c r="E20" s="14"/>
      <c r="F20" s="17"/>
      <c r="H20" s="17"/>
    </row>
    <row r="21" spans="1:10">
      <c r="A21" s="8" t="s">
        <v>23</v>
      </c>
      <c r="B21" s="49"/>
      <c r="C21" s="8"/>
      <c r="D21" s="8"/>
      <c r="E21" s="8"/>
      <c r="F21" s="8"/>
      <c r="G21" s="25"/>
      <c r="H21" s="7"/>
    </row>
    <row r="22" spans="1:10">
      <c r="B22" s="51"/>
      <c r="C22" s="14"/>
      <c r="D22" s="14"/>
      <c r="E22" s="14"/>
      <c r="F22" s="17"/>
      <c r="H22" s="17"/>
    </row>
    <row r="23" spans="1:10">
      <c r="A23" t="s">
        <v>24</v>
      </c>
      <c r="B23" s="52"/>
      <c r="C23" s="14"/>
      <c r="D23" s="14"/>
      <c r="E23" s="14" t="s">
        <v>25</v>
      </c>
      <c r="F23" s="17"/>
      <c r="H23" s="17"/>
    </row>
    <row r="24" spans="1:10" ht="19.5" customHeight="1">
      <c r="A24" s="12" t="s">
        <v>26</v>
      </c>
      <c r="B24" s="55"/>
      <c r="C24" s="14" t="s">
        <v>27</v>
      </c>
      <c r="D24" s="15"/>
      <c r="E24" s="15"/>
      <c r="F24" s="18"/>
      <c r="G24" s="12"/>
      <c r="H24" s="17"/>
    </row>
    <row r="25" spans="1:10">
      <c r="B25" s="51"/>
      <c r="C25" s="14"/>
      <c r="D25" s="14"/>
      <c r="E25" s="14"/>
      <c r="F25" s="17"/>
      <c r="H25" s="17"/>
    </row>
    <row r="26" spans="1:10">
      <c r="A26" s="8" t="s">
        <v>28</v>
      </c>
      <c r="B26" s="49"/>
      <c r="C26" s="8"/>
      <c r="D26" s="8"/>
      <c r="E26" s="8"/>
      <c r="F26" s="8"/>
      <c r="G26" s="25"/>
      <c r="H26" s="7"/>
    </row>
    <row r="27" spans="1:10">
      <c r="B27" s="51"/>
      <c r="C27" s="14"/>
      <c r="D27" s="14"/>
      <c r="E27" s="14"/>
      <c r="F27" s="17"/>
      <c r="H27" s="17" t="s">
        <v>29</v>
      </c>
    </row>
    <row r="28" spans="1:10">
      <c r="A28" t="s">
        <v>30</v>
      </c>
      <c r="B28" s="52"/>
      <c r="C28" s="14" t="s">
        <v>31</v>
      </c>
      <c r="D28" s="15" t="s">
        <v>32</v>
      </c>
      <c r="E28" s="15"/>
      <c r="F28" s="17" t="s">
        <v>33</v>
      </c>
      <c r="H28" s="17"/>
    </row>
    <row r="29" spans="1:10">
      <c r="A29" t="s">
        <v>34</v>
      </c>
      <c r="B29" s="53"/>
      <c r="C29" s="14" t="s">
        <v>31</v>
      </c>
      <c r="D29" s="15" t="s">
        <v>32</v>
      </c>
      <c r="E29" s="15"/>
      <c r="F29" s="17" t="s">
        <v>33</v>
      </c>
      <c r="H29" s="17"/>
    </row>
    <row r="30" spans="1:10" ht="28.9">
      <c r="A30" t="s">
        <v>35</v>
      </c>
      <c r="B30" s="53"/>
      <c r="C30" s="14" t="s">
        <v>36</v>
      </c>
      <c r="D30" s="15" t="s">
        <v>37</v>
      </c>
      <c r="E30" s="15"/>
      <c r="F30" s="18" t="s">
        <v>38</v>
      </c>
      <c r="G30" s="12"/>
      <c r="H30" s="17"/>
      <c r="J30" s="101"/>
    </row>
    <row r="31" spans="1:10" ht="28.9">
      <c r="A31" t="s">
        <v>39</v>
      </c>
      <c r="B31" s="53"/>
      <c r="C31" s="14" t="s">
        <v>36</v>
      </c>
      <c r="D31" s="15" t="s">
        <v>37</v>
      </c>
      <c r="E31" s="15"/>
      <c r="F31" s="18" t="s">
        <v>38</v>
      </c>
      <c r="G31" s="12"/>
      <c r="H31" s="17" t="s">
        <v>40</v>
      </c>
      <c r="J31" s="101"/>
    </row>
    <row r="32" spans="1:10">
      <c r="A32" t="s">
        <v>41</v>
      </c>
      <c r="B32" s="53"/>
      <c r="C32" s="14"/>
      <c r="D32" s="15"/>
      <c r="E32" s="15"/>
      <c r="F32" s="18"/>
      <c r="G32" s="12"/>
      <c r="H32" s="17" t="s">
        <v>42</v>
      </c>
      <c r="J32" s="101"/>
    </row>
    <row r="33" spans="1:8">
      <c r="A33" t="s">
        <v>43</v>
      </c>
      <c r="B33" s="53"/>
      <c r="C33" s="14"/>
      <c r="D33" s="15"/>
      <c r="E33" s="15"/>
      <c r="F33" s="18"/>
      <c r="G33" s="12"/>
      <c r="H33" s="17"/>
    </row>
    <row r="34" spans="1:8">
      <c r="A34" s="31" t="s">
        <v>44</v>
      </c>
      <c r="B34" s="53"/>
      <c r="C34" s="14"/>
      <c r="D34" s="15" t="s">
        <v>37</v>
      </c>
      <c r="E34" s="15"/>
      <c r="F34" s="18"/>
      <c r="G34" s="12"/>
      <c r="H34" s="17"/>
    </row>
    <row r="35" spans="1:8">
      <c r="B35" s="53"/>
      <c r="C35" s="14"/>
      <c r="D35" s="14"/>
      <c r="E35" s="15"/>
      <c r="F35" s="18"/>
      <c r="G35" s="12"/>
      <c r="H35" s="17"/>
    </row>
    <row r="36" spans="1:8">
      <c r="B36" s="53"/>
      <c r="C36" s="14"/>
      <c r="D36" s="15"/>
      <c r="E36" s="15"/>
      <c r="F36" s="18"/>
      <c r="G36" s="12"/>
      <c r="H36" s="17"/>
    </row>
    <row r="37" spans="1:8">
      <c r="B37" s="53"/>
      <c r="C37" s="14"/>
      <c r="D37" s="15"/>
      <c r="E37" s="15"/>
      <c r="F37" s="18"/>
      <c r="G37" s="12"/>
      <c r="H37" s="17"/>
    </row>
    <row r="38" spans="1:8">
      <c r="B38" s="53"/>
      <c r="C38" s="14"/>
      <c r="D38" s="15"/>
      <c r="E38" s="15"/>
      <c r="F38" s="17"/>
      <c r="H38" s="17" t="s">
        <v>45</v>
      </c>
    </row>
    <row r="39" spans="1:8">
      <c r="B39" s="53"/>
      <c r="C39" s="14"/>
      <c r="D39" s="15"/>
      <c r="E39" s="15"/>
      <c r="F39" s="17"/>
      <c r="H39" s="17"/>
    </row>
    <row r="40" spans="1:8">
      <c r="A40" t="s">
        <v>46</v>
      </c>
      <c r="B40" s="55"/>
      <c r="C40" s="14"/>
      <c r="D40" s="14"/>
      <c r="E40" s="14"/>
      <c r="F40" s="17"/>
      <c r="H40" s="17"/>
    </row>
    <row r="41" spans="1:8">
      <c r="B41" s="51"/>
      <c r="C41" s="14"/>
      <c r="D41" s="14"/>
      <c r="E41" s="14"/>
      <c r="F41" s="17"/>
      <c r="H41" s="17"/>
    </row>
    <row r="42" spans="1:8">
      <c r="B42" s="51"/>
      <c r="C42" s="14"/>
      <c r="D42" s="14"/>
      <c r="E42" s="14"/>
      <c r="F42" s="17"/>
      <c r="H42" s="17"/>
    </row>
    <row r="43" spans="1:8">
      <c r="B43" s="51"/>
      <c r="C43" s="14"/>
      <c r="D43" s="14"/>
      <c r="E43" s="14"/>
      <c r="F43" s="17"/>
      <c r="H43" s="17"/>
    </row>
    <row r="44" spans="1:8">
      <c r="A44" s="8" t="s">
        <v>47</v>
      </c>
      <c r="B44" s="49"/>
      <c r="C44" s="8"/>
      <c r="D44" s="8"/>
      <c r="E44" s="8"/>
      <c r="F44" s="8"/>
      <c r="G44" s="25"/>
      <c r="H44" s="7"/>
    </row>
    <row r="45" spans="1:8">
      <c r="B45" s="51"/>
      <c r="C45" s="14"/>
      <c r="D45" s="14"/>
      <c r="E45" s="14"/>
      <c r="F45" s="17"/>
      <c r="H45" s="17"/>
    </row>
    <row r="46" spans="1:8">
      <c r="A46" s="10" t="s">
        <v>48</v>
      </c>
      <c r="B46" s="51"/>
      <c r="C46" s="14"/>
      <c r="D46" s="14"/>
      <c r="E46" s="14"/>
      <c r="F46" s="17"/>
      <c r="H46" s="17"/>
    </row>
    <row r="47" spans="1:8">
      <c r="A47" t="s">
        <v>49</v>
      </c>
      <c r="B47" s="52"/>
      <c r="C47" s="14" t="s">
        <v>50</v>
      </c>
      <c r="D47" s="14" t="s">
        <v>51</v>
      </c>
      <c r="E47" s="14"/>
      <c r="F47" s="17"/>
      <c r="H47" s="17"/>
    </row>
    <row r="48" spans="1:8">
      <c r="A48" t="s">
        <v>52</v>
      </c>
      <c r="B48" s="53"/>
      <c r="C48" s="14" t="s">
        <v>50</v>
      </c>
      <c r="D48" s="14" t="s">
        <v>51</v>
      </c>
      <c r="E48" s="14"/>
      <c r="F48" s="17" t="s">
        <v>53</v>
      </c>
      <c r="H48" s="17"/>
    </row>
    <row r="49" spans="1:8">
      <c r="A49" t="s">
        <v>54</v>
      </c>
      <c r="B49" s="53"/>
      <c r="C49" s="14" t="s">
        <v>50</v>
      </c>
      <c r="D49" s="14" t="s">
        <v>51</v>
      </c>
      <c r="E49" s="14"/>
      <c r="F49" s="17" t="s">
        <v>55</v>
      </c>
      <c r="H49" s="17" t="s">
        <v>56</v>
      </c>
    </row>
    <row r="50" spans="1:8">
      <c r="A50" t="s">
        <v>57</v>
      </c>
      <c r="B50" s="53"/>
      <c r="C50" s="14" t="s">
        <v>50</v>
      </c>
      <c r="D50" s="14" t="s">
        <v>51</v>
      </c>
      <c r="E50" s="14"/>
      <c r="F50" s="17" t="s">
        <v>58</v>
      </c>
      <c r="H50" s="17"/>
    </row>
    <row r="51" spans="1:8">
      <c r="A51" t="s">
        <v>59</v>
      </c>
      <c r="B51" s="53"/>
      <c r="C51" s="14" t="s">
        <v>50</v>
      </c>
      <c r="D51" s="14" t="s">
        <v>51</v>
      </c>
      <c r="E51" s="14"/>
      <c r="F51" s="17"/>
      <c r="H51" s="17"/>
    </row>
    <row r="52" spans="1:8">
      <c r="A52" t="s">
        <v>60</v>
      </c>
      <c r="B52" s="53"/>
      <c r="C52" s="14" t="s">
        <v>50</v>
      </c>
      <c r="D52" s="14" t="s">
        <v>51</v>
      </c>
      <c r="E52" s="14"/>
      <c r="F52" s="17" t="s">
        <v>61</v>
      </c>
      <c r="H52" s="17"/>
    </row>
    <row r="53" spans="1:8">
      <c r="A53" t="s">
        <v>62</v>
      </c>
      <c r="B53" s="53"/>
      <c r="C53" s="14" t="s">
        <v>50</v>
      </c>
      <c r="D53" s="14" t="s">
        <v>51</v>
      </c>
      <c r="E53" s="14"/>
      <c r="F53" s="17"/>
      <c r="H53" s="17"/>
    </row>
    <row r="54" spans="1:8">
      <c r="A54" t="s">
        <v>63</v>
      </c>
      <c r="B54" s="53"/>
      <c r="C54" s="14" t="s">
        <v>50</v>
      </c>
      <c r="D54" s="14" t="s">
        <v>51</v>
      </c>
      <c r="E54" s="14"/>
      <c r="F54" s="17"/>
      <c r="H54" s="17"/>
    </row>
    <row r="55" spans="1:8">
      <c r="A55" t="s">
        <v>64</v>
      </c>
      <c r="B55" s="53"/>
      <c r="C55" s="14" t="s">
        <v>50</v>
      </c>
      <c r="D55" s="14" t="s">
        <v>51</v>
      </c>
      <c r="E55" s="14"/>
      <c r="F55" s="17"/>
      <c r="H55" s="17"/>
    </row>
    <row r="56" spans="1:8">
      <c r="A56" t="s">
        <v>65</v>
      </c>
      <c r="B56" s="53"/>
      <c r="C56" s="14" t="s">
        <v>50</v>
      </c>
      <c r="D56" s="14" t="s">
        <v>51</v>
      </c>
      <c r="E56" s="14"/>
      <c r="F56" s="17"/>
      <c r="H56" s="17"/>
    </row>
    <row r="57" spans="1:8">
      <c r="A57" t="s">
        <v>66</v>
      </c>
      <c r="B57" s="53"/>
      <c r="C57" s="14" t="s">
        <v>50</v>
      </c>
      <c r="D57" s="14" t="s">
        <v>51</v>
      </c>
      <c r="E57" s="14"/>
      <c r="F57" s="17"/>
      <c r="H57" s="17"/>
    </row>
    <row r="58" spans="1:8">
      <c r="A58" t="s">
        <v>67</v>
      </c>
      <c r="B58" s="53"/>
      <c r="C58" s="14" t="s">
        <v>50</v>
      </c>
      <c r="D58" s="14" t="s">
        <v>51</v>
      </c>
      <c r="E58" s="14"/>
      <c r="F58" s="17"/>
      <c r="H58" s="17"/>
    </row>
    <row r="59" spans="1:8">
      <c r="A59" t="s">
        <v>68</v>
      </c>
      <c r="B59" s="53"/>
      <c r="C59" s="14" t="s">
        <v>50</v>
      </c>
      <c r="D59" s="14" t="s">
        <v>51</v>
      </c>
      <c r="E59" s="14"/>
      <c r="F59" s="17"/>
      <c r="H59" s="17"/>
    </row>
    <row r="60" spans="1:8">
      <c r="A60" t="s">
        <v>69</v>
      </c>
      <c r="B60" s="53"/>
      <c r="C60" s="14" t="s">
        <v>50</v>
      </c>
      <c r="D60" s="14" t="s">
        <v>51</v>
      </c>
      <c r="E60" s="14"/>
      <c r="F60" s="17"/>
      <c r="H60" s="17"/>
    </row>
    <row r="61" spans="1:8">
      <c r="A61" t="s">
        <v>70</v>
      </c>
      <c r="B61" s="53"/>
      <c r="C61" s="14" t="s">
        <v>50</v>
      </c>
      <c r="D61" s="14" t="s">
        <v>51</v>
      </c>
      <c r="E61" s="14"/>
      <c r="F61" s="17"/>
      <c r="H61" s="17"/>
    </row>
    <row r="62" spans="1:8">
      <c r="A62" t="s">
        <v>71</v>
      </c>
      <c r="B62" s="53"/>
      <c r="C62" s="14" t="s">
        <v>50</v>
      </c>
      <c r="D62" s="14" t="s">
        <v>51</v>
      </c>
      <c r="E62" s="14"/>
      <c r="F62" s="17"/>
      <c r="H62" s="17"/>
    </row>
    <row r="63" spans="1:8">
      <c r="A63" t="s">
        <v>72</v>
      </c>
      <c r="B63" s="53"/>
      <c r="C63" s="14" t="s">
        <v>50</v>
      </c>
      <c r="D63" s="14" t="s">
        <v>51</v>
      </c>
      <c r="E63" s="14"/>
      <c r="F63" s="17"/>
      <c r="H63" s="17"/>
    </row>
    <row r="64" spans="1:8">
      <c r="B64" s="53"/>
      <c r="C64" s="14"/>
      <c r="D64" s="14"/>
      <c r="E64" s="14"/>
      <c r="F64" s="17"/>
      <c r="H64" s="17"/>
    </row>
    <row r="65" spans="1:8">
      <c r="B65" s="53"/>
      <c r="C65" s="14"/>
      <c r="D65" s="14"/>
      <c r="E65" s="14"/>
      <c r="F65" s="17"/>
      <c r="H65" s="17"/>
    </row>
    <row r="66" spans="1:8">
      <c r="A66" t="s">
        <v>73</v>
      </c>
      <c r="B66" s="55"/>
      <c r="C66" s="14"/>
      <c r="D66" s="14"/>
      <c r="E66" s="14"/>
      <c r="F66" s="17"/>
      <c r="H66" s="17"/>
    </row>
    <row r="67" spans="1:8">
      <c r="B67" s="51"/>
      <c r="C67" s="14"/>
      <c r="D67" s="14"/>
      <c r="E67" s="14"/>
      <c r="F67" s="17"/>
      <c r="H67" s="17"/>
    </row>
    <row r="68" spans="1:8">
      <c r="A68" s="10" t="s">
        <v>74</v>
      </c>
      <c r="B68" s="51"/>
      <c r="C68" s="14"/>
      <c r="D68" s="14"/>
      <c r="E68" s="14"/>
      <c r="F68" s="17"/>
      <c r="H68" s="17"/>
    </row>
    <row r="69" spans="1:8">
      <c r="A69" t="s">
        <v>21</v>
      </c>
      <c r="B69" s="52"/>
      <c r="C69" s="14" t="s">
        <v>75</v>
      </c>
      <c r="D69" s="14" t="s">
        <v>76</v>
      </c>
      <c r="E69" s="14"/>
      <c r="F69" s="17"/>
      <c r="H69" s="17"/>
    </row>
    <row r="70" spans="1:8">
      <c r="A70" t="s">
        <v>77</v>
      </c>
      <c r="B70" s="53"/>
      <c r="C70" s="14" t="s">
        <v>75</v>
      </c>
      <c r="D70" s="14" t="s">
        <v>76</v>
      </c>
      <c r="E70" s="14"/>
      <c r="F70" s="17"/>
      <c r="H70" s="17"/>
    </row>
    <row r="71" spans="1:8">
      <c r="A71" t="s">
        <v>73</v>
      </c>
      <c r="B71" s="55"/>
      <c r="C71" s="14" t="s">
        <v>75</v>
      </c>
      <c r="D71" s="14" t="s">
        <v>76</v>
      </c>
      <c r="E71" s="14"/>
      <c r="F71" s="17"/>
      <c r="H71" s="17"/>
    </row>
    <row r="72" spans="1:8">
      <c r="B72" s="51"/>
      <c r="C72" s="14"/>
      <c r="D72" s="14"/>
      <c r="E72" s="14"/>
      <c r="F72" s="17"/>
      <c r="H72" s="17"/>
    </row>
    <row r="73" spans="1:8">
      <c r="B73" s="51"/>
      <c r="C73" s="14"/>
      <c r="D73" s="14"/>
      <c r="E73" s="14"/>
      <c r="F73" s="17"/>
      <c r="H73" s="17"/>
    </row>
    <row r="74" spans="1:8">
      <c r="B74" s="51"/>
      <c r="C74" s="14"/>
      <c r="D74" s="14"/>
      <c r="E74" s="14"/>
      <c r="F74" s="17"/>
      <c r="H74" s="17"/>
    </row>
    <row r="75" spans="1:8">
      <c r="A75" s="10"/>
      <c r="B75" s="51"/>
      <c r="C75" s="14"/>
      <c r="D75" s="14"/>
      <c r="E75" s="14"/>
      <c r="F75" s="17"/>
      <c r="H75" s="17"/>
    </row>
    <row r="76" spans="1:8">
      <c r="A76" t="s">
        <v>78</v>
      </c>
      <c r="B76" s="51"/>
      <c r="C76" s="14"/>
      <c r="D76" s="14"/>
      <c r="E76" s="14"/>
      <c r="F76" s="17"/>
      <c r="H76" s="17"/>
    </row>
    <row r="77" spans="1:8">
      <c r="B77" s="51"/>
      <c r="C77" s="14"/>
      <c r="D77" s="14"/>
      <c r="E77" s="14"/>
      <c r="F77" s="17"/>
      <c r="H77" s="17"/>
    </row>
    <row r="78" spans="1:8">
      <c r="A78" s="8" t="s">
        <v>79</v>
      </c>
      <c r="B78" s="49"/>
      <c r="C78" s="8"/>
      <c r="D78" s="8"/>
      <c r="E78" s="8"/>
      <c r="F78" s="8"/>
      <c r="G78" s="25"/>
      <c r="H78" s="7"/>
    </row>
    <row r="79" spans="1:8">
      <c r="B79" s="51"/>
      <c r="C79" s="14"/>
      <c r="D79" s="14"/>
      <c r="E79" s="14"/>
      <c r="F79" s="17"/>
      <c r="H79" s="17"/>
    </row>
    <row r="80" spans="1:8">
      <c r="A80" s="6" t="s">
        <v>80</v>
      </c>
      <c r="B80" s="56"/>
      <c r="C80" s="16"/>
      <c r="D80" s="14"/>
      <c r="E80" s="14"/>
      <c r="F80" s="17"/>
      <c r="H80" s="17"/>
    </row>
    <row r="81" spans="1:8">
      <c r="A81" t="s">
        <v>81</v>
      </c>
      <c r="B81" s="51"/>
      <c r="C81" s="14"/>
      <c r="D81" s="14"/>
      <c r="E81" s="14"/>
      <c r="F81" s="17"/>
      <c r="H81" s="17"/>
    </row>
    <row r="82" spans="1:8">
      <c r="B82" s="51"/>
      <c r="C82" s="14"/>
      <c r="D82" s="14"/>
      <c r="E82" s="14"/>
      <c r="F82" s="17"/>
      <c r="H82" s="17"/>
    </row>
    <row r="83" spans="1:8">
      <c r="A83" s="6" t="s">
        <v>82</v>
      </c>
      <c r="B83" s="56"/>
      <c r="C83" s="16"/>
      <c r="D83" s="14"/>
      <c r="E83" s="14"/>
      <c r="F83" s="17"/>
      <c r="H83" s="17"/>
    </row>
    <row r="84" spans="1:8" ht="28.9">
      <c r="A84" s="33" t="s">
        <v>83</v>
      </c>
      <c r="B84" s="52"/>
      <c r="C84" s="14"/>
      <c r="D84" s="15" t="s">
        <v>37</v>
      </c>
      <c r="E84" s="15"/>
      <c r="F84" s="18"/>
      <c r="G84" s="12"/>
      <c r="H84" s="17"/>
    </row>
    <row r="85" spans="1:8" ht="39.75" customHeight="1">
      <c r="A85" t="s">
        <v>84</v>
      </c>
      <c r="B85" s="53"/>
      <c r="C85" s="14" t="s">
        <v>85</v>
      </c>
      <c r="D85" s="14" t="s">
        <v>86</v>
      </c>
      <c r="E85" s="14"/>
      <c r="F85" s="19"/>
      <c r="G85" s="28"/>
      <c r="H85" s="17"/>
    </row>
    <row r="86" spans="1:8" ht="36.75" customHeight="1">
      <c r="A86" t="s">
        <v>87</v>
      </c>
      <c r="B86" s="53"/>
      <c r="C86" s="14" t="s">
        <v>88</v>
      </c>
      <c r="D86" s="15"/>
      <c r="E86" s="15"/>
      <c r="F86" s="198" t="s">
        <v>89</v>
      </c>
      <c r="G86" s="12"/>
      <c r="H86" s="17"/>
    </row>
    <row r="87" spans="1:8">
      <c r="A87" t="s">
        <v>90</v>
      </c>
      <c r="B87" s="55"/>
      <c r="C87" s="14" t="s">
        <v>88</v>
      </c>
      <c r="D87" s="15"/>
      <c r="E87" s="15"/>
      <c r="F87" s="198"/>
      <c r="G87" s="12"/>
      <c r="H87" s="17"/>
    </row>
    <row r="88" spans="1:8">
      <c r="B88" s="51"/>
      <c r="C88" s="14"/>
      <c r="D88" s="15"/>
      <c r="E88" s="15"/>
      <c r="F88" s="18"/>
      <c r="G88" s="12"/>
      <c r="H88" s="17"/>
    </row>
    <row r="89" spans="1:8">
      <c r="B89" s="51"/>
      <c r="C89" s="14"/>
      <c r="D89" s="14"/>
      <c r="E89" s="14"/>
      <c r="F89" s="17"/>
      <c r="H89" s="17"/>
    </row>
    <row r="90" spans="1:8">
      <c r="A90" s="8" t="s">
        <v>91</v>
      </c>
      <c r="B90" s="49"/>
      <c r="C90" s="8"/>
      <c r="D90" s="8"/>
      <c r="E90" s="8"/>
      <c r="F90" s="8"/>
      <c r="G90" s="25"/>
      <c r="H90" s="7"/>
    </row>
    <row r="91" spans="1:8">
      <c r="B91" s="51"/>
      <c r="C91" s="14"/>
      <c r="D91" s="14" t="s">
        <v>92</v>
      </c>
      <c r="E91" s="14"/>
      <c r="F91" s="17"/>
      <c r="H91" s="17"/>
    </row>
    <row r="92" spans="1:8">
      <c r="A92" s="6" t="s">
        <v>93</v>
      </c>
      <c r="B92" s="51"/>
      <c r="C92" s="14" t="s">
        <v>94</v>
      </c>
      <c r="D92" s="14"/>
      <c r="E92" s="14"/>
      <c r="F92" s="17"/>
      <c r="H92" s="17"/>
    </row>
    <row r="93" spans="1:8">
      <c r="A93" s="10"/>
      <c r="B93" s="51"/>
      <c r="C93" s="14"/>
      <c r="D93" s="14"/>
      <c r="E93" s="14"/>
      <c r="F93" s="17"/>
      <c r="H93" s="17"/>
    </row>
    <row r="94" spans="1:8">
      <c r="A94" t="s">
        <v>49</v>
      </c>
      <c r="B94" s="51"/>
      <c r="C94" s="14" t="s">
        <v>95</v>
      </c>
      <c r="D94" s="14" t="s">
        <v>96</v>
      </c>
      <c r="E94" s="14"/>
      <c r="F94" s="17"/>
      <c r="H94" s="17"/>
    </row>
    <row r="95" spans="1:8">
      <c r="A95" t="s">
        <v>52</v>
      </c>
      <c r="B95" s="51"/>
      <c r="C95" s="14" t="s">
        <v>95</v>
      </c>
      <c r="D95" s="14" t="s">
        <v>96</v>
      </c>
      <c r="E95" s="14"/>
      <c r="F95" s="17"/>
      <c r="H95" s="17"/>
    </row>
    <row r="96" spans="1:8">
      <c r="A96" t="s">
        <v>54</v>
      </c>
      <c r="B96" s="51"/>
      <c r="C96" s="14" t="s">
        <v>95</v>
      </c>
      <c r="D96" s="14" t="s">
        <v>96</v>
      </c>
      <c r="E96" s="14"/>
      <c r="F96" s="17"/>
      <c r="H96" s="17"/>
    </row>
    <row r="97" spans="1:8">
      <c r="A97" t="s">
        <v>57</v>
      </c>
      <c r="B97" s="51"/>
      <c r="C97" s="14" t="s">
        <v>95</v>
      </c>
      <c r="D97" s="14" t="s">
        <v>96</v>
      </c>
      <c r="E97" s="14"/>
      <c r="F97" s="17"/>
      <c r="H97" s="17"/>
    </row>
    <row r="98" spans="1:8">
      <c r="A98" t="s">
        <v>59</v>
      </c>
      <c r="B98" s="51"/>
      <c r="C98" s="14" t="s">
        <v>95</v>
      </c>
      <c r="D98" s="14" t="s">
        <v>96</v>
      </c>
      <c r="E98" s="14"/>
      <c r="F98" s="17"/>
      <c r="H98" s="17"/>
    </row>
    <row r="99" spans="1:8">
      <c r="A99" t="s">
        <v>60</v>
      </c>
      <c r="B99" s="51"/>
      <c r="C99" s="14" t="s">
        <v>95</v>
      </c>
      <c r="D99" s="14" t="s">
        <v>96</v>
      </c>
      <c r="E99" s="14"/>
      <c r="F99" s="17"/>
      <c r="H99" s="17"/>
    </row>
    <row r="100" spans="1:8">
      <c r="A100" t="s">
        <v>68</v>
      </c>
      <c r="B100" s="51"/>
      <c r="C100" s="14" t="s">
        <v>95</v>
      </c>
      <c r="D100" s="14" t="s">
        <v>96</v>
      </c>
      <c r="E100" s="14"/>
      <c r="F100" s="17"/>
      <c r="H100" s="17"/>
    </row>
    <row r="101" spans="1:8">
      <c r="A101" t="s">
        <v>97</v>
      </c>
      <c r="B101" s="51"/>
      <c r="C101" s="14" t="s">
        <v>95</v>
      </c>
      <c r="D101" s="14" t="s">
        <v>96</v>
      </c>
      <c r="E101" s="14"/>
      <c r="F101" s="17"/>
      <c r="H101" s="17"/>
    </row>
    <row r="103" spans="1:8">
      <c r="A103" t="s">
        <v>78</v>
      </c>
    </row>
  </sheetData>
  <mergeCells count="1">
    <mergeCell ref="F86:F87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D787-AEB7-4E19-BE56-D807F75E43AB}">
  <dimension ref="B3:K219"/>
  <sheetViews>
    <sheetView workbookViewId="0"/>
  </sheetViews>
  <sheetFormatPr defaultColWidth="11.42578125" defaultRowHeight="14.45"/>
  <cols>
    <col min="2" max="2" width="18.140625" customWidth="1"/>
    <col min="3" max="4" width="33" customWidth="1"/>
    <col min="5" max="5" width="18" customWidth="1"/>
    <col min="6" max="6" width="17.28515625" customWidth="1"/>
    <col min="7" max="7" width="11.140625" customWidth="1"/>
    <col min="8" max="8" width="10.28515625" customWidth="1"/>
    <col min="9" max="9" width="10.85546875" customWidth="1"/>
    <col min="10" max="10" width="11.5703125" customWidth="1"/>
    <col min="11" max="11" width="11" customWidth="1"/>
  </cols>
  <sheetData>
    <row r="3" spans="2:11" s="12" customFormat="1" ht="28.5" customHeight="1">
      <c r="B3" s="34" t="s">
        <v>98</v>
      </c>
      <c r="C3" s="34" t="s">
        <v>99</v>
      </c>
      <c r="D3" s="34"/>
      <c r="E3" s="34" t="s">
        <v>100</v>
      </c>
      <c r="F3" s="34" t="s">
        <v>101</v>
      </c>
      <c r="G3" s="34" t="s">
        <v>102</v>
      </c>
      <c r="H3" s="34" t="s">
        <v>103</v>
      </c>
      <c r="I3" s="34" t="s">
        <v>104</v>
      </c>
      <c r="J3" s="57" t="s">
        <v>105</v>
      </c>
      <c r="K3" s="57" t="s">
        <v>29</v>
      </c>
    </row>
    <row r="4" spans="2:11">
      <c r="B4" s="35"/>
      <c r="C4" s="35"/>
      <c r="D4" s="35"/>
      <c r="E4" s="39"/>
      <c r="F4" s="35"/>
      <c r="G4" s="35"/>
      <c r="H4" s="35"/>
      <c r="I4" s="35"/>
      <c r="J4" s="58"/>
      <c r="K4" s="58">
        <f>IF(J4&gt;=10,0,10-J4)</f>
        <v>10</v>
      </c>
    </row>
    <row r="5" spans="2:11">
      <c r="B5" s="35"/>
      <c r="C5" s="35"/>
      <c r="D5" s="35"/>
      <c r="E5" s="39"/>
      <c r="F5" s="35"/>
      <c r="G5" s="35"/>
      <c r="H5" s="35"/>
      <c r="I5" s="35"/>
      <c r="J5" s="58"/>
      <c r="K5" s="58">
        <f t="shared" ref="K5:K68" si="0">IF(J5&gt;=10,0,10-J5)</f>
        <v>10</v>
      </c>
    </row>
    <row r="6" spans="2:11">
      <c r="B6" s="35"/>
      <c r="C6" s="35"/>
      <c r="D6" s="35"/>
      <c r="E6" s="39"/>
      <c r="F6" s="35"/>
      <c r="G6" s="35"/>
      <c r="H6" s="35"/>
      <c r="I6" s="35"/>
      <c r="J6" s="58"/>
      <c r="K6" s="58">
        <f t="shared" si="0"/>
        <v>10</v>
      </c>
    </row>
    <row r="7" spans="2:11">
      <c r="B7" s="35"/>
      <c r="C7" s="35"/>
      <c r="D7" s="35"/>
      <c r="E7" s="39"/>
      <c r="F7" s="35"/>
      <c r="G7" s="35"/>
      <c r="H7" s="35"/>
      <c r="I7" s="35"/>
      <c r="J7" s="58"/>
      <c r="K7" s="58">
        <f t="shared" si="0"/>
        <v>10</v>
      </c>
    </row>
    <row r="8" spans="2:11">
      <c r="B8" s="35"/>
      <c r="C8" s="35"/>
      <c r="D8" s="35"/>
      <c r="E8" s="38"/>
      <c r="F8" s="35"/>
      <c r="G8" s="35"/>
      <c r="H8" s="35"/>
      <c r="I8" s="35"/>
      <c r="J8" s="58"/>
      <c r="K8" s="58">
        <f t="shared" si="0"/>
        <v>10</v>
      </c>
    </row>
    <row r="9" spans="2:11">
      <c r="B9" s="35"/>
      <c r="C9" s="35"/>
      <c r="D9" s="35"/>
      <c r="E9" s="39"/>
      <c r="F9" s="35"/>
      <c r="G9" s="35"/>
      <c r="H9" s="35"/>
      <c r="I9" s="35"/>
      <c r="J9" s="58"/>
      <c r="K9" s="58">
        <f t="shared" si="0"/>
        <v>10</v>
      </c>
    </row>
    <row r="10" spans="2:11">
      <c r="B10" s="35"/>
      <c r="C10" s="35"/>
      <c r="D10" s="35"/>
      <c r="E10" s="39"/>
      <c r="F10" s="35"/>
      <c r="G10" s="35"/>
      <c r="H10" s="35"/>
      <c r="I10" s="35"/>
      <c r="J10" s="58"/>
      <c r="K10" s="58">
        <f t="shared" si="0"/>
        <v>10</v>
      </c>
    </row>
    <row r="11" spans="2:11">
      <c r="B11" s="35"/>
      <c r="C11" s="35"/>
      <c r="D11" s="35"/>
      <c r="E11" s="39"/>
      <c r="F11" s="35"/>
      <c r="G11" s="35"/>
      <c r="H11" s="35"/>
      <c r="I11" s="35"/>
      <c r="J11" s="58"/>
      <c r="K11" s="58">
        <f t="shared" si="0"/>
        <v>10</v>
      </c>
    </row>
    <row r="12" spans="2:11">
      <c r="B12" s="35"/>
      <c r="C12" s="35"/>
      <c r="D12" s="35"/>
      <c r="E12" s="39"/>
      <c r="F12" s="35"/>
      <c r="G12" s="35"/>
      <c r="H12" s="35"/>
      <c r="I12" s="35"/>
      <c r="J12" s="58"/>
      <c r="K12" s="58">
        <f t="shared" si="0"/>
        <v>10</v>
      </c>
    </row>
    <row r="13" spans="2:11">
      <c r="B13" s="35"/>
      <c r="C13" s="35"/>
      <c r="D13" s="35"/>
      <c r="E13" s="39"/>
      <c r="F13" s="35"/>
      <c r="G13" s="35"/>
      <c r="H13" s="35"/>
      <c r="I13" s="35"/>
      <c r="J13" s="58"/>
      <c r="K13" s="58">
        <f t="shared" si="0"/>
        <v>10</v>
      </c>
    </row>
    <row r="14" spans="2:11" ht="14.45" customHeight="1">
      <c r="B14" s="35"/>
      <c r="C14" s="35"/>
      <c r="D14" s="35"/>
      <c r="E14" s="39"/>
      <c r="F14" s="35"/>
      <c r="G14" s="35"/>
      <c r="H14" s="35"/>
      <c r="I14" s="35"/>
      <c r="J14" s="58"/>
      <c r="K14" s="58">
        <f>IF(J14&gt;=10,0,10-J14)</f>
        <v>10</v>
      </c>
    </row>
    <row r="15" spans="2:11" ht="15" customHeight="1">
      <c r="B15" s="35"/>
      <c r="C15" s="35"/>
      <c r="D15" s="35"/>
      <c r="E15" s="210"/>
      <c r="F15" s="35"/>
      <c r="G15" s="35"/>
      <c r="H15" s="35"/>
      <c r="I15" s="35"/>
      <c r="J15" s="58"/>
      <c r="K15" s="58">
        <f>IF(J15&gt;=10,0,10-J15)</f>
        <v>10</v>
      </c>
    </row>
    <row r="16" spans="2:11" ht="15" customHeight="1">
      <c r="B16" s="35"/>
      <c r="C16" s="35"/>
      <c r="D16" s="35"/>
      <c r="E16" s="210"/>
      <c r="F16" s="35"/>
      <c r="G16" s="35"/>
      <c r="H16" s="35"/>
      <c r="I16" s="35"/>
      <c r="J16" s="58"/>
      <c r="K16" s="58">
        <f t="shared" si="0"/>
        <v>10</v>
      </c>
    </row>
    <row r="17" spans="2:11">
      <c r="B17" s="35"/>
      <c r="C17" s="35"/>
      <c r="D17" s="35"/>
      <c r="E17" s="210"/>
      <c r="F17" s="35"/>
      <c r="G17" s="35"/>
      <c r="H17" s="35"/>
      <c r="I17" s="35"/>
      <c r="J17" s="58"/>
      <c r="K17" s="58">
        <f t="shared" si="0"/>
        <v>10</v>
      </c>
    </row>
    <row r="18" spans="2:11">
      <c r="B18" s="35"/>
      <c r="C18" s="35"/>
      <c r="D18" s="35"/>
      <c r="E18" s="210"/>
      <c r="F18" s="35"/>
      <c r="G18" s="35"/>
      <c r="H18" s="35"/>
      <c r="I18" s="35"/>
      <c r="J18" s="58"/>
      <c r="K18" s="58">
        <f t="shared" si="0"/>
        <v>10</v>
      </c>
    </row>
    <row r="19" spans="2:11">
      <c r="B19" s="35"/>
      <c r="C19" s="35"/>
      <c r="D19" s="35"/>
      <c r="E19" s="210"/>
      <c r="F19" s="35"/>
      <c r="G19" s="35"/>
      <c r="H19" s="35"/>
      <c r="I19" s="35"/>
      <c r="J19" s="58"/>
      <c r="K19" s="58">
        <f t="shared" si="0"/>
        <v>10</v>
      </c>
    </row>
    <row r="20" spans="2:11">
      <c r="B20" s="35"/>
      <c r="C20" s="35"/>
      <c r="D20" s="35"/>
      <c r="E20" s="210"/>
      <c r="F20" s="35"/>
      <c r="G20" s="35"/>
      <c r="H20" s="35"/>
      <c r="I20" s="35"/>
      <c r="J20" s="58"/>
      <c r="K20" s="58">
        <f t="shared" si="0"/>
        <v>10</v>
      </c>
    </row>
    <row r="21" spans="2:11">
      <c r="B21" s="35"/>
      <c r="C21" s="35"/>
      <c r="D21" s="35"/>
      <c r="E21" s="210"/>
      <c r="F21" s="35"/>
      <c r="G21" s="35"/>
      <c r="H21" s="35"/>
      <c r="I21" s="35"/>
      <c r="J21" s="58"/>
      <c r="K21" s="58">
        <f t="shared" si="0"/>
        <v>10</v>
      </c>
    </row>
    <row r="22" spans="2:11" ht="14.45" customHeight="1">
      <c r="B22" s="35"/>
      <c r="C22" s="35"/>
      <c r="D22" s="35"/>
      <c r="E22" s="210"/>
      <c r="F22" s="35"/>
      <c r="G22" s="35"/>
      <c r="H22" s="35"/>
      <c r="I22" s="35"/>
      <c r="J22" s="58"/>
      <c r="K22" s="58">
        <f t="shared" si="0"/>
        <v>10</v>
      </c>
    </row>
    <row r="23" spans="2:11">
      <c r="B23" s="35"/>
      <c r="C23" s="35"/>
      <c r="D23" s="35"/>
      <c r="E23" s="210"/>
      <c r="F23" s="35"/>
      <c r="G23" s="35"/>
      <c r="H23" s="35"/>
      <c r="I23" s="35"/>
      <c r="J23" s="58"/>
      <c r="K23" s="58">
        <f t="shared" si="0"/>
        <v>10</v>
      </c>
    </row>
    <row r="24" spans="2:11" ht="14.45" customHeight="1">
      <c r="B24" s="35"/>
      <c r="C24" s="35"/>
      <c r="D24" s="35"/>
      <c r="E24" s="210"/>
      <c r="F24" s="35"/>
      <c r="G24" s="35"/>
      <c r="H24" s="35"/>
      <c r="I24" s="35"/>
      <c r="J24" s="58"/>
      <c r="K24" s="58">
        <f t="shared" si="0"/>
        <v>10</v>
      </c>
    </row>
    <row r="25" spans="2:11">
      <c r="B25" s="35"/>
      <c r="C25" s="35"/>
      <c r="D25" s="35"/>
      <c r="E25" s="210"/>
      <c r="F25" s="35"/>
      <c r="G25" s="35"/>
      <c r="H25" s="35"/>
      <c r="I25" s="35"/>
      <c r="J25" s="58"/>
      <c r="K25" s="58">
        <f t="shared" si="0"/>
        <v>10</v>
      </c>
    </row>
    <row r="26" spans="2:11" ht="14.45" customHeight="1">
      <c r="B26" s="35"/>
      <c r="C26" s="35"/>
      <c r="D26" s="35"/>
      <c r="E26" s="210"/>
      <c r="F26" s="35"/>
      <c r="G26" s="35"/>
      <c r="H26" s="35"/>
      <c r="I26" s="35"/>
      <c r="J26" s="58"/>
      <c r="K26" s="58">
        <f t="shared" si="0"/>
        <v>10</v>
      </c>
    </row>
    <row r="27" spans="2:11">
      <c r="B27" s="35"/>
      <c r="C27" s="35"/>
      <c r="D27" s="35"/>
      <c r="E27" s="210"/>
      <c r="F27" s="35"/>
      <c r="G27" s="35"/>
      <c r="H27" s="35"/>
      <c r="I27" s="35"/>
      <c r="J27" s="58"/>
      <c r="K27" s="58">
        <f t="shared" si="0"/>
        <v>10</v>
      </c>
    </row>
    <row r="28" spans="2:11" ht="14.45" customHeight="1">
      <c r="B28" s="35"/>
      <c r="C28" s="35"/>
      <c r="D28" s="35"/>
      <c r="E28" s="210"/>
      <c r="F28" s="35"/>
      <c r="G28" s="35"/>
      <c r="H28" s="35"/>
      <c r="I28" s="35"/>
      <c r="J28" s="58"/>
      <c r="K28" s="58">
        <f t="shared" si="0"/>
        <v>10</v>
      </c>
    </row>
    <row r="29" spans="2:11">
      <c r="B29" s="35"/>
      <c r="C29" s="35"/>
      <c r="D29" s="35"/>
      <c r="E29" s="210"/>
      <c r="F29" s="35"/>
      <c r="G29" s="35"/>
      <c r="H29" s="35"/>
      <c r="I29" s="35"/>
      <c r="J29" s="58"/>
      <c r="K29" s="58">
        <f t="shared" si="0"/>
        <v>10</v>
      </c>
    </row>
    <row r="30" spans="2:11" ht="14.45" customHeight="1">
      <c r="B30" s="35"/>
      <c r="C30" s="35"/>
      <c r="D30" s="35"/>
      <c r="E30" s="210"/>
      <c r="F30" s="35"/>
      <c r="G30" s="35"/>
      <c r="H30" s="35"/>
      <c r="I30" s="35"/>
      <c r="J30" s="58"/>
      <c r="K30" s="58">
        <f t="shared" si="0"/>
        <v>10</v>
      </c>
    </row>
    <row r="31" spans="2:11">
      <c r="B31" s="35"/>
      <c r="C31" s="35"/>
      <c r="D31" s="35"/>
      <c r="E31" s="210"/>
      <c r="F31" s="35"/>
      <c r="G31" s="35"/>
      <c r="H31" s="35"/>
      <c r="I31" s="35"/>
      <c r="J31" s="58"/>
      <c r="K31" s="58">
        <f t="shared" si="0"/>
        <v>10</v>
      </c>
    </row>
    <row r="32" spans="2:11" ht="14.45" customHeight="1">
      <c r="B32" s="35"/>
      <c r="C32" s="35"/>
      <c r="D32" s="35"/>
      <c r="E32" s="210"/>
      <c r="F32" s="35"/>
      <c r="G32" s="35"/>
      <c r="H32" s="35"/>
      <c r="I32" s="35"/>
      <c r="J32" s="58"/>
      <c r="K32" s="58">
        <f t="shared" si="0"/>
        <v>10</v>
      </c>
    </row>
    <row r="33" spans="2:11" ht="14.45" customHeight="1">
      <c r="B33" s="35"/>
      <c r="C33" s="35"/>
      <c r="D33" s="35"/>
      <c r="E33" s="210"/>
      <c r="F33" s="35"/>
      <c r="G33" s="35"/>
      <c r="H33" s="35"/>
      <c r="I33" s="35"/>
      <c r="J33" s="58"/>
      <c r="K33" s="58">
        <f t="shared" si="0"/>
        <v>10</v>
      </c>
    </row>
    <row r="34" spans="2:11">
      <c r="B34" s="35"/>
      <c r="C34" s="35"/>
      <c r="D34" s="35"/>
      <c r="E34" s="210"/>
      <c r="F34" s="35"/>
      <c r="G34" s="35"/>
      <c r="H34" s="35"/>
      <c r="I34" s="35"/>
      <c r="J34" s="58"/>
      <c r="K34" s="58">
        <f t="shared" si="0"/>
        <v>10</v>
      </c>
    </row>
    <row r="35" spans="2:11">
      <c r="B35" s="35"/>
      <c r="C35" s="35"/>
      <c r="D35" s="35"/>
      <c r="E35" s="39"/>
      <c r="F35" s="35"/>
      <c r="G35" s="35"/>
      <c r="H35" s="35"/>
      <c r="I35" s="35"/>
      <c r="J35" s="58"/>
      <c r="K35" s="58">
        <f t="shared" si="0"/>
        <v>10</v>
      </c>
    </row>
    <row r="36" spans="2:11">
      <c r="B36" s="35"/>
      <c r="C36" s="35"/>
      <c r="D36" s="35"/>
      <c r="E36" s="39"/>
      <c r="F36" s="35"/>
      <c r="G36" s="35"/>
      <c r="H36" s="35"/>
      <c r="I36" s="35"/>
      <c r="J36" s="58"/>
      <c r="K36" s="58">
        <f t="shared" si="0"/>
        <v>10</v>
      </c>
    </row>
    <row r="37" spans="2:11">
      <c r="B37" s="35"/>
      <c r="C37" s="35"/>
      <c r="D37" s="35"/>
      <c r="E37" s="39"/>
      <c r="F37" s="35"/>
      <c r="G37" s="35"/>
      <c r="H37" s="35"/>
      <c r="I37" s="35"/>
      <c r="J37" s="58"/>
      <c r="K37" s="58">
        <f t="shared" si="0"/>
        <v>10</v>
      </c>
    </row>
    <row r="38" spans="2:11">
      <c r="B38" s="35"/>
      <c r="C38" s="35"/>
      <c r="D38" s="35"/>
      <c r="E38" s="39"/>
      <c r="F38" s="35"/>
      <c r="G38" s="35"/>
      <c r="H38" s="35"/>
      <c r="I38" s="35"/>
      <c r="J38" s="58"/>
      <c r="K38" s="58">
        <f t="shared" si="0"/>
        <v>10</v>
      </c>
    </row>
    <row r="39" spans="2:11">
      <c r="B39" s="35"/>
      <c r="C39" s="35"/>
      <c r="D39" s="35"/>
      <c r="E39" s="38"/>
      <c r="F39" s="35"/>
      <c r="G39" s="35"/>
      <c r="H39" s="35"/>
      <c r="I39" s="35"/>
      <c r="J39" s="58"/>
      <c r="K39" s="58">
        <f t="shared" si="0"/>
        <v>10</v>
      </c>
    </row>
    <row r="40" spans="2:11">
      <c r="B40" s="35"/>
      <c r="C40" s="35"/>
      <c r="D40" s="35"/>
      <c r="E40" s="38"/>
      <c r="F40" s="35"/>
      <c r="G40" s="35"/>
      <c r="H40" s="35"/>
      <c r="I40" s="35"/>
      <c r="J40" s="58"/>
      <c r="K40" s="58">
        <f t="shared" si="0"/>
        <v>10</v>
      </c>
    </row>
    <row r="41" spans="2:11">
      <c r="B41" s="35"/>
      <c r="C41" s="35"/>
      <c r="D41" s="35"/>
      <c r="E41" s="39"/>
      <c r="F41" s="35"/>
      <c r="G41" s="35"/>
      <c r="H41" s="35"/>
      <c r="I41" s="35"/>
      <c r="J41" s="58"/>
      <c r="K41" s="58">
        <f t="shared" si="0"/>
        <v>10</v>
      </c>
    </row>
    <row r="42" spans="2:11">
      <c r="B42" s="35"/>
      <c r="C42" s="35"/>
      <c r="D42" s="35"/>
      <c r="E42" s="39"/>
      <c r="F42" s="35"/>
      <c r="G42" s="35"/>
      <c r="H42" s="35"/>
      <c r="I42" s="35"/>
      <c r="J42" s="58"/>
      <c r="K42" s="58">
        <f t="shared" si="0"/>
        <v>10</v>
      </c>
    </row>
    <row r="43" spans="2:11">
      <c r="B43" s="35"/>
      <c r="C43" s="35"/>
      <c r="D43" s="35"/>
      <c r="E43" s="39"/>
      <c r="F43" s="35"/>
      <c r="G43" s="35"/>
      <c r="H43" s="35"/>
      <c r="I43" s="35"/>
      <c r="J43" s="58"/>
      <c r="K43" s="58">
        <f t="shared" si="0"/>
        <v>10</v>
      </c>
    </row>
    <row r="44" spans="2:11">
      <c r="B44" s="35"/>
      <c r="C44" s="35"/>
      <c r="D44" s="35"/>
      <c r="E44" s="210"/>
      <c r="F44" s="35"/>
      <c r="G44" s="35"/>
      <c r="H44" s="35"/>
      <c r="I44" s="35"/>
      <c r="J44" s="58"/>
      <c r="K44" s="58">
        <f t="shared" si="0"/>
        <v>10</v>
      </c>
    </row>
    <row r="45" spans="2:11">
      <c r="B45" s="35"/>
      <c r="C45" s="35"/>
      <c r="D45" s="35"/>
      <c r="E45" s="39"/>
      <c r="F45" s="35"/>
      <c r="G45" s="35"/>
      <c r="H45" s="35"/>
      <c r="I45" s="35"/>
      <c r="J45" s="58"/>
      <c r="K45" s="58">
        <f t="shared" si="0"/>
        <v>10</v>
      </c>
    </row>
    <row r="46" spans="2:11">
      <c r="B46" s="35"/>
      <c r="C46" s="35"/>
      <c r="D46" s="35"/>
      <c r="E46" s="39"/>
      <c r="F46" s="35"/>
      <c r="G46" s="35"/>
      <c r="H46" s="35"/>
      <c r="I46" s="35"/>
      <c r="J46" s="58"/>
      <c r="K46" s="58">
        <f t="shared" si="0"/>
        <v>10</v>
      </c>
    </row>
    <row r="47" spans="2:11">
      <c r="B47" s="35"/>
      <c r="C47" s="35"/>
      <c r="D47" s="35"/>
      <c r="E47" s="39"/>
      <c r="F47" s="35"/>
      <c r="G47" s="35"/>
      <c r="H47" s="35"/>
      <c r="I47" s="35"/>
      <c r="J47" s="58"/>
      <c r="K47" s="58">
        <f t="shared" si="0"/>
        <v>10</v>
      </c>
    </row>
    <row r="48" spans="2:11">
      <c r="B48" s="35"/>
      <c r="C48" s="35"/>
      <c r="D48" s="35"/>
      <c r="E48" s="39"/>
      <c r="F48" s="35"/>
      <c r="G48" s="35"/>
      <c r="H48" s="35"/>
      <c r="I48" s="35"/>
      <c r="J48" s="58"/>
      <c r="K48" s="58">
        <f t="shared" si="0"/>
        <v>10</v>
      </c>
    </row>
    <row r="49" spans="2:11">
      <c r="B49" s="35"/>
      <c r="C49" s="35"/>
      <c r="D49" s="35"/>
      <c r="E49" s="39"/>
      <c r="F49" s="35"/>
      <c r="G49" s="35"/>
      <c r="H49" s="35"/>
      <c r="I49" s="35"/>
      <c r="J49" s="58"/>
      <c r="K49" s="58">
        <f t="shared" si="0"/>
        <v>10</v>
      </c>
    </row>
    <row r="50" spans="2:11">
      <c r="B50" s="35"/>
      <c r="C50" s="35"/>
      <c r="D50" s="35"/>
      <c r="E50" s="39"/>
      <c r="F50" s="35"/>
      <c r="G50" s="35"/>
      <c r="H50" s="35"/>
      <c r="I50" s="35"/>
      <c r="J50" s="58"/>
      <c r="K50" s="58">
        <f t="shared" si="0"/>
        <v>10</v>
      </c>
    </row>
    <row r="51" spans="2:11">
      <c r="B51" s="35"/>
      <c r="C51" s="35"/>
      <c r="D51" s="35"/>
      <c r="E51" s="39"/>
      <c r="F51" s="35"/>
      <c r="G51" s="35"/>
      <c r="H51" s="35"/>
      <c r="I51" s="35"/>
      <c r="J51" s="58"/>
      <c r="K51" s="58">
        <f t="shared" si="0"/>
        <v>10</v>
      </c>
    </row>
    <row r="52" spans="2:11">
      <c r="B52" s="35"/>
      <c r="C52" s="35"/>
      <c r="D52" s="35"/>
      <c r="E52" s="39"/>
      <c r="F52" s="35"/>
      <c r="G52" s="35"/>
      <c r="H52" s="35"/>
      <c r="I52" s="35"/>
      <c r="J52" s="58"/>
      <c r="K52" s="58">
        <f t="shared" si="0"/>
        <v>10</v>
      </c>
    </row>
    <row r="53" spans="2:11">
      <c r="B53" s="35"/>
      <c r="C53" s="35"/>
      <c r="D53" s="35"/>
      <c r="E53" s="39"/>
      <c r="F53" s="35"/>
      <c r="G53" s="35"/>
      <c r="H53" s="35"/>
      <c r="I53" s="35"/>
      <c r="J53" s="58"/>
      <c r="K53" s="58">
        <f t="shared" si="0"/>
        <v>10</v>
      </c>
    </row>
    <row r="54" spans="2:11">
      <c r="B54" s="35"/>
      <c r="C54" s="35"/>
      <c r="D54" s="35"/>
      <c r="E54" s="39"/>
      <c r="F54" s="35"/>
      <c r="G54" s="35"/>
      <c r="H54" s="35"/>
      <c r="I54" s="35"/>
      <c r="J54" s="58"/>
      <c r="K54" s="58">
        <f t="shared" si="0"/>
        <v>10</v>
      </c>
    </row>
    <row r="55" spans="2:11">
      <c r="B55" s="35"/>
      <c r="C55" s="35"/>
      <c r="D55" s="35"/>
      <c r="E55" s="39"/>
      <c r="F55" s="35"/>
      <c r="G55" s="35"/>
      <c r="H55" s="35"/>
      <c r="I55" s="35"/>
      <c r="J55" s="58"/>
      <c r="K55" s="58">
        <f t="shared" si="0"/>
        <v>10</v>
      </c>
    </row>
    <row r="56" spans="2:11">
      <c r="B56" s="35"/>
      <c r="C56" s="35"/>
      <c r="D56" s="35"/>
      <c r="E56" s="39"/>
      <c r="F56" s="35"/>
      <c r="G56" s="35"/>
      <c r="H56" s="35"/>
      <c r="I56" s="35"/>
      <c r="J56" s="58"/>
      <c r="K56" s="58">
        <f t="shared" si="0"/>
        <v>10</v>
      </c>
    </row>
    <row r="57" spans="2:11">
      <c r="B57" s="35"/>
      <c r="C57" s="35"/>
      <c r="D57" s="35"/>
      <c r="E57" s="39"/>
      <c r="F57" s="35"/>
      <c r="G57" s="35"/>
      <c r="H57" s="35"/>
      <c r="I57" s="35"/>
      <c r="J57" s="58"/>
      <c r="K57" s="58">
        <f t="shared" si="0"/>
        <v>10</v>
      </c>
    </row>
    <row r="58" spans="2:11">
      <c r="B58" s="35"/>
      <c r="C58" s="35"/>
      <c r="D58" s="35"/>
      <c r="E58" s="39"/>
      <c r="F58" s="35"/>
      <c r="G58" s="35"/>
      <c r="H58" s="35"/>
      <c r="I58" s="35"/>
      <c r="J58" s="58"/>
      <c r="K58" s="58">
        <f t="shared" si="0"/>
        <v>10</v>
      </c>
    </row>
    <row r="59" spans="2:11" ht="14.45" customHeight="1">
      <c r="B59" s="35"/>
      <c r="C59" s="35"/>
      <c r="D59" s="35"/>
      <c r="E59" s="39"/>
      <c r="F59" s="35"/>
      <c r="G59" s="35"/>
      <c r="H59" s="35"/>
      <c r="I59" s="35"/>
      <c r="J59" s="58"/>
      <c r="K59" s="58">
        <f t="shared" si="0"/>
        <v>10</v>
      </c>
    </row>
    <row r="60" spans="2:11">
      <c r="B60" s="35"/>
      <c r="C60" s="35"/>
      <c r="D60" s="35"/>
      <c r="E60" s="39"/>
      <c r="F60" s="35"/>
      <c r="G60" s="35"/>
      <c r="H60" s="35"/>
      <c r="I60" s="35"/>
      <c r="J60" s="58"/>
      <c r="K60" s="58">
        <f t="shared" si="0"/>
        <v>10</v>
      </c>
    </row>
    <row r="61" spans="2:11">
      <c r="B61" s="35"/>
      <c r="C61" s="35"/>
      <c r="D61" s="35"/>
      <c r="E61" s="39"/>
      <c r="F61" s="35"/>
      <c r="G61" s="35"/>
      <c r="H61" s="35"/>
      <c r="I61" s="35"/>
      <c r="J61" s="58"/>
      <c r="K61" s="58">
        <f t="shared" si="0"/>
        <v>10</v>
      </c>
    </row>
    <row r="62" spans="2:11" ht="15" customHeight="1">
      <c r="B62" s="35"/>
      <c r="C62" s="35"/>
      <c r="D62" s="35"/>
      <c r="E62" s="39"/>
      <c r="F62" s="35"/>
      <c r="G62" s="35"/>
      <c r="H62" s="35"/>
      <c r="I62" s="35"/>
      <c r="J62" s="58"/>
      <c r="K62" s="58">
        <f t="shared" si="0"/>
        <v>10</v>
      </c>
    </row>
    <row r="63" spans="2:11" ht="15" customHeight="1">
      <c r="B63" s="35"/>
      <c r="C63" s="35"/>
      <c r="D63" s="35"/>
      <c r="E63" s="39"/>
      <c r="F63" s="35"/>
      <c r="G63" s="35"/>
      <c r="H63" s="35"/>
      <c r="I63" s="35"/>
      <c r="J63" s="58"/>
      <c r="K63" s="58">
        <f t="shared" si="0"/>
        <v>10</v>
      </c>
    </row>
    <row r="64" spans="2:11">
      <c r="B64" s="35"/>
      <c r="C64" s="35"/>
      <c r="D64" s="35"/>
      <c r="E64" s="39"/>
      <c r="F64" s="35"/>
      <c r="G64" s="35"/>
      <c r="H64" s="35"/>
      <c r="I64" s="35"/>
      <c r="J64" s="58"/>
      <c r="K64" s="58">
        <f t="shared" si="0"/>
        <v>10</v>
      </c>
    </row>
    <row r="65" spans="2:11">
      <c r="B65" s="35"/>
      <c r="C65" s="35"/>
      <c r="D65" s="35"/>
      <c r="E65" s="39"/>
      <c r="F65" s="35"/>
      <c r="G65" s="35"/>
      <c r="H65" s="35"/>
      <c r="I65" s="35"/>
      <c r="J65" s="58"/>
      <c r="K65" s="58">
        <f t="shared" si="0"/>
        <v>10</v>
      </c>
    </row>
    <row r="66" spans="2:11">
      <c r="B66" s="35"/>
      <c r="C66" s="35"/>
      <c r="D66" s="35"/>
      <c r="E66" s="39"/>
      <c r="F66" s="35"/>
      <c r="G66" s="35"/>
      <c r="H66" s="35"/>
      <c r="I66" s="35"/>
      <c r="J66" s="58"/>
      <c r="K66" s="58">
        <f t="shared" si="0"/>
        <v>10</v>
      </c>
    </row>
    <row r="67" spans="2:11">
      <c r="B67" s="35"/>
      <c r="C67" s="35"/>
      <c r="D67" s="35"/>
      <c r="E67" s="39"/>
      <c r="F67" s="35"/>
      <c r="G67" s="35"/>
      <c r="H67" s="35"/>
      <c r="I67" s="35"/>
      <c r="J67" s="58"/>
      <c r="K67" s="58">
        <f t="shared" si="0"/>
        <v>10</v>
      </c>
    </row>
    <row r="68" spans="2:11">
      <c r="B68" s="35"/>
      <c r="C68" s="35"/>
      <c r="D68" s="35"/>
      <c r="E68" s="39"/>
      <c r="F68" s="35"/>
      <c r="G68" s="35"/>
      <c r="H68" s="35"/>
      <c r="I68" s="35"/>
      <c r="J68" s="58"/>
      <c r="K68" s="58">
        <f t="shared" si="0"/>
        <v>10</v>
      </c>
    </row>
    <row r="69" spans="2:11">
      <c r="B69" s="35"/>
      <c r="C69" s="35"/>
      <c r="D69" s="35"/>
      <c r="E69" s="39"/>
      <c r="F69" s="35"/>
      <c r="G69" s="35"/>
      <c r="H69" s="35"/>
      <c r="I69" s="35"/>
      <c r="J69" s="58"/>
      <c r="K69" s="58">
        <f t="shared" ref="K69:K132" si="1">IF(J69&gt;=10,0,10-J69)</f>
        <v>10</v>
      </c>
    </row>
    <row r="70" spans="2:11">
      <c r="B70" s="35"/>
      <c r="C70" s="35"/>
      <c r="D70" s="35"/>
      <c r="E70" s="38"/>
      <c r="F70" s="35"/>
      <c r="G70" s="35"/>
      <c r="H70" s="35"/>
      <c r="I70" s="35"/>
      <c r="J70" s="58"/>
      <c r="K70" s="58">
        <f t="shared" si="1"/>
        <v>10</v>
      </c>
    </row>
    <row r="71" spans="2:11">
      <c r="B71" s="35"/>
      <c r="C71" s="35"/>
      <c r="D71" s="35"/>
      <c r="E71" s="39"/>
      <c r="F71" s="35"/>
      <c r="G71" s="35"/>
      <c r="H71" s="35"/>
      <c r="I71" s="35"/>
      <c r="J71" s="58"/>
      <c r="K71" s="58">
        <f t="shared" si="1"/>
        <v>10</v>
      </c>
    </row>
    <row r="72" spans="2:11">
      <c r="B72" s="35"/>
      <c r="C72" s="35"/>
      <c r="D72" s="35"/>
      <c r="E72" s="39"/>
      <c r="F72" s="35"/>
      <c r="G72" s="35"/>
      <c r="H72" s="35"/>
      <c r="I72" s="35"/>
      <c r="J72" s="58"/>
      <c r="K72" s="58">
        <f t="shared" si="1"/>
        <v>10</v>
      </c>
    </row>
    <row r="73" spans="2:11">
      <c r="B73" s="35"/>
      <c r="C73" s="35"/>
      <c r="D73" s="35"/>
      <c r="E73" s="39"/>
      <c r="F73" s="35"/>
      <c r="G73" s="35"/>
      <c r="H73" s="35"/>
      <c r="I73" s="35"/>
      <c r="J73" s="58"/>
      <c r="K73" s="58">
        <f t="shared" si="1"/>
        <v>10</v>
      </c>
    </row>
    <row r="74" spans="2:11">
      <c r="B74" s="35"/>
      <c r="C74" s="35"/>
      <c r="D74" s="35"/>
      <c r="E74" s="39"/>
      <c r="F74" s="35"/>
      <c r="G74" s="35"/>
      <c r="H74" s="35"/>
      <c r="I74" s="35"/>
      <c r="J74" s="58"/>
      <c r="K74" s="58">
        <f t="shared" si="1"/>
        <v>10</v>
      </c>
    </row>
    <row r="75" spans="2:11">
      <c r="B75" s="35"/>
      <c r="C75" s="35"/>
      <c r="D75" s="35"/>
      <c r="E75" s="39"/>
      <c r="F75" s="35"/>
      <c r="G75" s="35"/>
      <c r="H75" s="35"/>
      <c r="I75" s="35"/>
      <c r="J75" s="58"/>
      <c r="K75" s="58">
        <f t="shared" si="1"/>
        <v>10</v>
      </c>
    </row>
    <row r="76" spans="2:11">
      <c r="B76" s="35"/>
      <c r="C76" s="35"/>
      <c r="D76" s="35"/>
      <c r="E76" s="39"/>
      <c r="F76" s="35"/>
      <c r="G76" s="35"/>
      <c r="H76" s="35"/>
      <c r="I76" s="35"/>
      <c r="J76" s="58"/>
      <c r="K76" s="58">
        <f t="shared" si="1"/>
        <v>10</v>
      </c>
    </row>
    <row r="77" spans="2:11">
      <c r="B77" s="35"/>
      <c r="C77" s="35"/>
      <c r="D77" s="35"/>
      <c r="E77" s="39"/>
      <c r="F77" s="35"/>
      <c r="G77" s="35"/>
      <c r="H77" s="35"/>
      <c r="I77" s="35"/>
      <c r="J77" s="58"/>
      <c r="K77" s="58">
        <f t="shared" si="1"/>
        <v>10</v>
      </c>
    </row>
    <row r="78" spans="2:11">
      <c r="B78" s="35"/>
      <c r="C78" s="35"/>
      <c r="D78" s="35"/>
      <c r="E78" s="39"/>
      <c r="F78" s="35"/>
      <c r="G78" s="35"/>
      <c r="H78" s="35"/>
      <c r="I78" s="35"/>
      <c r="J78" s="58"/>
      <c r="K78" s="58">
        <f t="shared" si="1"/>
        <v>10</v>
      </c>
    </row>
    <row r="79" spans="2:11">
      <c r="B79" s="35"/>
      <c r="C79" s="35"/>
      <c r="D79" s="35"/>
      <c r="E79" s="39"/>
      <c r="F79" s="35"/>
      <c r="G79" s="35"/>
      <c r="H79" s="35"/>
      <c r="I79" s="35"/>
      <c r="J79" s="58"/>
      <c r="K79" s="58">
        <f t="shared" si="1"/>
        <v>10</v>
      </c>
    </row>
    <row r="80" spans="2:11">
      <c r="B80" s="35"/>
      <c r="C80" s="35"/>
      <c r="D80" s="35"/>
      <c r="E80" s="39"/>
      <c r="F80" s="35"/>
      <c r="G80" s="35"/>
      <c r="H80" s="35"/>
      <c r="I80" s="35"/>
      <c r="J80" s="58"/>
      <c r="K80" s="58">
        <f t="shared" si="1"/>
        <v>10</v>
      </c>
    </row>
    <row r="81" spans="2:11">
      <c r="B81" s="35"/>
      <c r="C81" s="35"/>
      <c r="D81" s="35"/>
      <c r="E81" s="39"/>
      <c r="F81" s="35"/>
      <c r="G81" s="35"/>
      <c r="H81" s="35"/>
      <c r="I81" s="35"/>
      <c r="J81" s="58"/>
      <c r="K81" s="58">
        <f t="shared" si="1"/>
        <v>10</v>
      </c>
    </row>
    <row r="82" spans="2:11">
      <c r="B82" s="35"/>
      <c r="C82" s="35"/>
      <c r="D82" s="35"/>
      <c r="E82" s="39"/>
      <c r="F82" s="35"/>
      <c r="G82" s="35"/>
      <c r="H82" s="35"/>
      <c r="I82" s="35"/>
      <c r="J82" s="58"/>
      <c r="K82" s="58">
        <f t="shared" si="1"/>
        <v>10</v>
      </c>
    </row>
    <row r="83" spans="2:11">
      <c r="B83" s="35"/>
      <c r="C83" s="35"/>
      <c r="D83" s="35"/>
      <c r="E83" s="39"/>
      <c r="F83" s="35"/>
      <c r="G83" s="35"/>
      <c r="H83" s="35"/>
      <c r="I83" s="35"/>
      <c r="J83" s="58"/>
      <c r="K83" s="58">
        <f t="shared" si="1"/>
        <v>10</v>
      </c>
    </row>
    <row r="84" spans="2:11">
      <c r="B84" s="35"/>
      <c r="C84" s="35"/>
      <c r="D84" s="35"/>
      <c r="E84" s="39"/>
      <c r="F84" s="35"/>
      <c r="G84" s="35"/>
      <c r="H84" s="35"/>
      <c r="I84" s="35"/>
      <c r="J84" s="58"/>
      <c r="K84" s="58">
        <f t="shared" si="1"/>
        <v>10</v>
      </c>
    </row>
    <row r="85" spans="2:11">
      <c r="B85" s="35"/>
      <c r="C85" s="35"/>
      <c r="D85" s="35"/>
      <c r="E85" s="39"/>
      <c r="F85" s="35"/>
      <c r="G85" s="35"/>
      <c r="H85" s="35"/>
      <c r="I85" s="35"/>
      <c r="J85" s="58"/>
      <c r="K85" s="58">
        <f t="shared" si="1"/>
        <v>10</v>
      </c>
    </row>
    <row r="86" spans="2:11">
      <c r="B86" s="35"/>
      <c r="C86" s="35"/>
      <c r="D86" s="35"/>
      <c r="E86" s="39"/>
      <c r="F86" s="35"/>
      <c r="G86" s="35"/>
      <c r="H86" s="35"/>
      <c r="I86" s="35"/>
      <c r="J86" s="58"/>
      <c r="K86" s="58">
        <f t="shared" si="1"/>
        <v>10</v>
      </c>
    </row>
    <row r="87" spans="2:11">
      <c r="B87" s="35"/>
      <c r="C87" s="35"/>
      <c r="D87" s="35"/>
      <c r="E87" s="39"/>
      <c r="F87" s="35"/>
      <c r="G87" s="35"/>
      <c r="H87" s="35"/>
      <c r="I87" s="35"/>
      <c r="J87" s="58"/>
      <c r="K87" s="58">
        <f t="shared" si="1"/>
        <v>10</v>
      </c>
    </row>
    <row r="88" spans="2:11">
      <c r="B88" s="35"/>
      <c r="C88" s="35"/>
      <c r="D88" s="35"/>
      <c r="E88" s="39"/>
      <c r="F88" s="35"/>
      <c r="G88" s="35"/>
      <c r="H88" s="35"/>
      <c r="I88" s="35"/>
      <c r="J88" s="58"/>
      <c r="K88" s="58">
        <f t="shared" si="1"/>
        <v>10</v>
      </c>
    </row>
    <row r="89" spans="2:11">
      <c r="B89" s="35"/>
      <c r="C89" s="35"/>
      <c r="D89" s="35"/>
      <c r="E89" s="39"/>
      <c r="F89" s="35"/>
      <c r="G89" s="35"/>
      <c r="H89" s="35"/>
      <c r="I89" s="35"/>
      <c r="J89" s="58"/>
      <c r="K89" s="58">
        <f t="shared" si="1"/>
        <v>10</v>
      </c>
    </row>
    <row r="90" spans="2:11">
      <c r="B90" s="35"/>
      <c r="C90" s="35"/>
      <c r="D90" s="35"/>
      <c r="E90" s="39"/>
      <c r="F90" s="35"/>
      <c r="G90" s="35"/>
      <c r="H90" s="35"/>
      <c r="I90" s="35"/>
      <c r="J90" s="58"/>
      <c r="K90" s="58">
        <f t="shared" si="1"/>
        <v>10</v>
      </c>
    </row>
    <row r="91" spans="2:11">
      <c r="B91" s="35"/>
      <c r="C91" s="35"/>
      <c r="D91" s="35"/>
      <c r="E91" s="39"/>
      <c r="F91" s="35"/>
      <c r="G91" s="35"/>
      <c r="H91" s="35"/>
      <c r="I91" s="35"/>
      <c r="J91" s="58"/>
      <c r="K91" s="58">
        <f t="shared" si="1"/>
        <v>10</v>
      </c>
    </row>
    <row r="92" spans="2:11">
      <c r="B92" s="35"/>
      <c r="C92" s="35"/>
      <c r="D92" s="35"/>
      <c r="E92" s="39"/>
      <c r="F92" s="35"/>
      <c r="G92" s="35"/>
      <c r="H92" s="35"/>
      <c r="I92" s="35"/>
      <c r="J92" s="58"/>
      <c r="K92" s="58">
        <f t="shared" si="1"/>
        <v>10</v>
      </c>
    </row>
    <row r="93" spans="2:11">
      <c r="B93" s="35"/>
      <c r="C93" s="35"/>
      <c r="D93" s="35"/>
      <c r="E93" s="39"/>
      <c r="F93" s="35"/>
      <c r="G93" s="35"/>
      <c r="H93" s="35"/>
      <c r="I93" s="35"/>
      <c r="J93" s="58"/>
      <c r="K93" s="58">
        <f t="shared" si="1"/>
        <v>10</v>
      </c>
    </row>
    <row r="94" spans="2:11">
      <c r="B94" s="35"/>
      <c r="C94" s="35"/>
      <c r="D94" s="35"/>
      <c r="E94" s="39"/>
      <c r="F94" s="35"/>
      <c r="G94" s="35"/>
      <c r="H94" s="35"/>
      <c r="I94" s="35"/>
      <c r="J94" s="58"/>
      <c r="K94" s="58">
        <f t="shared" si="1"/>
        <v>10</v>
      </c>
    </row>
    <row r="95" spans="2:11">
      <c r="B95" s="35"/>
      <c r="C95" s="35"/>
      <c r="D95" s="35"/>
      <c r="E95" s="39"/>
      <c r="F95" s="35"/>
      <c r="G95" s="35"/>
      <c r="H95" s="35"/>
      <c r="I95" s="35"/>
      <c r="J95" s="58"/>
      <c r="K95" s="58">
        <f t="shared" si="1"/>
        <v>10</v>
      </c>
    </row>
    <row r="96" spans="2:11">
      <c r="B96" s="35"/>
      <c r="C96" s="35"/>
      <c r="D96" s="35"/>
      <c r="E96" s="39"/>
      <c r="F96" s="35"/>
      <c r="G96" s="35"/>
      <c r="H96" s="35"/>
      <c r="I96" s="35"/>
      <c r="J96" s="58"/>
      <c r="K96" s="58">
        <f t="shared" si="1"/>
        <v>10</v>
      </c>
    </row>
    <row r="97" spans="2:11">
      <c r="B97" s="35"/>
      <c r="C97" s="35"/>
      <c r="D97" s="35"/>
      <c r="E97" s="39"/>
      <c r="F97" s="35"/>
      <c r="G97" s="35"/>
      <c r="H97" s="35"/>
      <c r="I97" s="35"/>
      <c r="J97" s="58"/>
      <c r="K97" s="58">
        <f t="shared" si="1"/>
        <v>10</v>
      </c>
    </row>
    <row r="98" spans="2:11">
      <c r="B98" s="35"/>
      <c r="C98" s="35"/>
      <c r="D98" s="35"/>
      <c r="E98" s="39"/>
      <c r="F98" s="35"/>
      <c r="G98" s="35"/>
      <c r="H98" s="35"/>
      <c r="I98" s="35"/>
      <c r="J98" s="58"/>
      <c r="K98" s="58">
        <f t="shared" si="1"/>
        <v>10</v>
      </c>
    </row>
    <row r="99" spans="2:11">
      <c r="B99" s="35"/>
      <c r="C99" s="35"/>
      <c r="D99" s="35"/>
      <c r="E99" s="39"/>
      <c r="F99" s="35"/>
      <c r="G99" s="35"/>
      <c r="H99" s="35"/>
      <c r="I99" s="35"/>
      <c r="J99" s="58"/>
      <c r="K99" s="58">
        <f t="shared" si="1"/>
        <v>10</v>
      </c>
    </row>
    <row r="100" spans="2:11">
      <c r="B100" s="35"/>
      <c r="C100" s="35"/>
      <c r="D100" s="35"/>
      <c r="E100" s="39"/>
      <c r="F100" s="35"/>
      <c r="G100" s="35"/>
      <c r="H100" s="35"/>
      <c r="I100" s="35"/>
      <c r="J100" s="58"/>
      <c r="K100" s="58">
        <f t="shared" si="1"/>
        <v>10</v>
      </c>
    </row>
    <row r="101" spans="2:11">
      <c r="B101" s="35"/>
      <c r="C101" s="35"/>
      <c r="D101" s="35"/>
      <c r="E101" s="39"/>
      <c r="F101" s="35"/>
      <c r="G101" s="35"/>
      <c r="H101" s="35"/>
      <c r="I101" s="35"/>
      <c r="J101" s="58"/>
      <c r="K101" s="58">
        <f t="shared" si="1"/>
        <v>10</v>
      </c>
    </row>
    <row r="102" spans="2:11">
      <c r="B102" s="35"/>
      <c r="C102" s="35"/>
      <c r="D102" s="35"/>
      <c r="E102" s="39"/>
      <c r="F102" s="35"/>
      <c r="G102" s="35"/>
      <c r="H102" s="35"/>
      <c r="I102" s="35"/>
      <c r="J102" s="58"/>
      <c r="K102" s="58">
        <f t="shared" si="1"/>
        <v>10</v>
      </c>
    </row>
    <row r="103" spans="2:11">
      <c r="B103" s="35"/>
      <c r="C103" s="35"/>
      <c r="D103" s="35"/>
      <c r="E103" s="39"/>
      <c r="F103" s="35"/>
      <c r="G103" s="35"/>
      <c r="H103" s="35"/>
      <c r="I103" s="35"/>
      <c r="J103" s="58"/>
      <c r="K103" s="58">
        <f t="shared" si="1"/>
        <v>10</v>
      </c>
    </row>
    <row r="104" spans="2:11">
      <c r="B104" s="35"/>
      <c r="C104" s="35"/>
      <c r="D104" s="35"/>
      <c r="E104" s="39"/>
      <c r="F104" s="35"/>
      <c r="G104" s="35"/>
      <c r="H104" s="35"/>
      <c r="I104" s="35"/>
      <c r="J104" s="58"/>
      <c r="K104" s="58">
        <f t="shared" si="1"/>
        <v>10</v>
      </c>
    </row>
    <row r="105" spans="2:11">
      <c r="B105" s="35"/>
      <c r="C105" s="35"/>
      <c r="D105" s="35"/>
      <c r="E105" s="39"/>
      <c r="F105" s="35"/>
      <c r="G105" s="35"/>
      <c r="H105" s="35"/>
      <c r="I105" s="35"/>
      <c r="J105" s="58"/>
      <c r="K105" s="58">
        <f t="shared" si="1"/>
        <v>10</v>
      </c>
    </row>
    <row r="106" spans="2:11">
      <c r="B106" s="35"/>
      <c r="C106" s="35"/>
      <c r="D106" s="35"/>
      <c r="E106" s="39"/>
      <c r="F106" s="35"/>
      <c r="G106" s="35"/>
      <c r="H106" s="35"/>
      <c r="I106" s="35"/>
      <c r="J106" s="58"/>
      <c r="K106" s="58">
        <f t="shared" si="1"/>
        <v>10</v>
      </c>
    </row>
    <row r="107" spans="2:11">
      <c r="B107" s="35"/>
      <c r="C107" s="35"/>
      <c r="D107" s="35"/>
      <c r="E107" s="39"/>
      <c r="F107" s="35"/>
      <c r="G107" s="35"/>
      <c r="H107" s="35"/>
      <c r="I107" s="35"/>
      <c r="J107" s="58"/>
      <c r="K107" s="58">
        <f t="shared" si="1"/>
        <v>10</v>
      </c>
    </row>
    <row r="108" spans="2:11">
      <c r="B108" s="35"/>
      <c r="C108" s="35"/>
      <c r="D108" s="35"/>
      <c r="E108" s="39"/>
      <c r="F108" s="35"/>
      <c r="G108" s="35"/>
      <c r="H108" s="35"/>
      <c r="I108" s="35"/>
      <c r="J108" s="58"/>
      <c r="K108" s="58">
        <f t="shared" si="1"/>
        <v>10</v>
      </c>
    </row>
    <row r="109" spans="2:11">
      <c r="B109" s="35"/>
      <c r="C109" s="35"/>
      <c r="D109" s="35"/>
      <c r="E109" s="39"/>
      <c r="F109" s="35"/>
      <c r="G109" s="35"/>
      <c r="H109" s="35"/>
      <c r="I109" s="35"/>
      <c r="J109" s="58"/>
      <c r="K109" s="58">
        <f t="shared" si="1"/>
        <v>10</v>
      </c>
    </row>
    <row r="110" spans="2:11">
      <c r="B110" s="35"/>
      <c r="C110" s="35"/>
      <c r="D110" s="35"/>
      <c r="E110" s="39"/>
      <c r="F110" s="35"/>
      <c r="G110" s="35"/>
      <c r="H110" s="35"/>
      <c r="I110" s="35"/>
      <c r="J110" s="58"/>
      <c r="K110" s="58">
        <f t="shared" si="1"/>
        <v>10</v>
      </c>
    </row>
    <row r="111" spans="2:11">
      <c r="B111" s="35"/>
      <c r="C111" s="35"/>
      <c r="D111" s="35"/>
      <c r="E111" s="39"/>
      <c r="F111" s="35"/>
      <c r="G111" s="35"/>
      <c r="H111" s="35"/>
      <c r="I111" s="35"/>
      <c r="J111" s="58"/>
      <c r="K111" s="58">
        <f t="shared" si="1"/>
        <v>10</v>
      </c>
    </row>
    <row r="112" spans="2:11">
      <c r="B112" s="35"/>
      <c r="C112" s="35"/>
      <c r="D112" s="35"/>
      <c r="E112" s="39"/>
      <c r="F112" s="35"/>
      <c r="G112" s="35"/>
      <c r="H112" s="35"/>
      <c r="I112" s="35"/>
      <c r="J112" s="58"/>
      <c r="K112" s="58">
        <f t="shared" si="1"/>
        <v>10</v>
      </c>
    </row>
    <row r="113" spans="2:11">
      <c r="B113" s="35"/>
      <c r="C113" s="35"/>
      <c r="D113" s="35"/>
      <c r="E113" s="39"/>
      <c r="F113" s="35"/>
      <c r="G113" s="35"/>
      <c r="H113" s="35"/>
      <c r="I113" s="35"/>
      <c r="J113" s="58"/>
      <c r="K113" s="58">
        <f t="shared" si="1"/>
        <v>10</v>
      </c>
    </row>
    <row r="114" spans="2:11">
      <c r="B114" s="35"/>
      <c r="C114" s="35"/>
      <c r="D114" s="35"/>
      <c r="E114" s="39"/>
      <c r="F114" s="35"/>
      <c r="G114" s="35"/>
      <c r="H114" s="35"/>
      <c r="I114" s="35"/>
      <c r="J114" s="58"/>
      <c r="K114" s="58">
        <f t="shared" si="1"/>
        <v>10</v>
      </c>
    </row>
    <row r="115" spans="2:11">
      <c r="B115" s="35"/>
      <c r="C115" s="35"/>
      <c r="D115" s="35"/>
      <c r="E115" s="39"/>
      <c r="F115" s="35"/>
      <c r="G115" s="35"/>
      <c r="H115" s="35"/>
      <c r="I115" s="35"/>
      <c r="J115" s="58"/>
      <c r="K115" s="58">
        <f t="shared" si="1"/>
        <v>10</v>
      </c>
    </row>
    <row r="116" spans="2:11">
      <c r="B116" s="35"/>
      <c r="C116" s="35"/>
      <c r="D116" s="35"/>
      <c r="E116" s="39"/>
      <c r="F116" s="35"/>
      <c r="G116" s="35"/>
      <c r="H116" s="35"/>
      <c r="I116" s="35"/>
      <c r="J116" s="58"/>
      <c r="K116" s="58">
        <f t="shared" si="1"/>
        <v>10</v>
      </c>
    </row>
    <row r="117" spans="2:11">
      <c r="B117" s="35"/>
      <c r="C117" s="35"/>
      <c r="D117" s="35"/>
      <c r="E117" s="39"/>
      <c r="F117" s="35"/>
      <c r="G117" s="35"/>
      <c r="H117" s="35"/>
      <c r="I117" s="35"/>
      <c r="J117" s="58"/>
      <c r="K117" s="58">
        <f t="shared" si="1"/>
        <v>10</v>
      </c>
    </row>
    <row r="118" spans="2:11">
      <c r="B118" s="35"/>
      <c r="C118" s="35"/>
      <c r="D118" s="35"/>
      <c r="E118" s="39"/>
      <c r="F118" s="35"/>
      <c r="G118" s="35"/>
      <c r="H118" s="35"/>
      <c r="I118" s="35"/>
      <c r="J118" s="58"/>
      <c r="K118" s="58">
        <f t="shared" si="1"/>
        <v>10</v>
      </c>
    </row>
    <row r="119" spans="2:11">
      <c r="B119" s="35"/>
      <c r="C119" s="35"/>
      <c r="D119" s="35"/>
      <c r="E119" s="39"/>
      <c r="F119" s="35"/>
      <c r="G119" s="35"/>
      <c r="H119" s="35"/>
      <c r="I119" s="35"/>
      <c r="J119" s="58"/>
      <c r="K119" s="58">
        <f t="shared" si="1"/>
        <v>10</v>
      </c>
    </row>
    <row r="120" spans="2:11">
      <c r="B120" s="35"/>
      <c r="C120" s="35"/>
      <c r="D120" s="35"/>
      <c r="E120" s="39"/>
      <c r="F120" s="35"/>
      <c r="G120" s="35"/>
      <c r="H120" s="35"/>
      <c r="I120" s="35"/>
      <c r="J120" s="58"/>
      <c r="K120" s="58">
        <f t="shared" si="1"/>
        <v>10</v>
      </c>
    </row>
    <row r="121" spans="2:11">
      <c r="B121" s="35"/>
      <c r="C121" s="35"/>
      <c r="D121" s="35"/>
      <c r="E121" s="39"/>
      <c r="F121" s="35"/>
      <c r="G121" s="35"/>
      <c r="H121" s="35"/>
      <c r="I121" s="35"/>
      <c r="J121" s="58"/>
      <c r="K121" s="58">
        <f t="shared" si="1"/>
        <v>10</v>
      </c>
    </row>
    <row r="122" spans="2:11">
      <c r="B122" s="35"/>
      <c r="C122" s="35"/>
      <c r="D122" s="35"/>
      <c r="E122" s="39"/>
      <c r="F122" s="35"/>
      <c r="G122" s="35"/>
      <c r="H122" s="35"/>
      <c r="I122" s="35"/>
      <c r="J122" s="58"/>
      <c r="K122" s="58">
        <f t="shared" si="1"/>
        <v>10</v>
      </c>
    </row>
    <row r="123" spans="2:11">
      <c r="B123" s="35"/>
      <c r="C123" s="35"/>
      <c r="D123" s="35"/>
      <c r="E123" s="39"/>
      <c r="F123" s="35"/>
      <c r="G123" s="35"/>
      <c r="H123" s="35"/>
      <c r="I123" s="35"/>
      <c r="J123" s="58"/>
      <c r="K123" s="58">
        <f t="shared" si="1"/>
        <v>10</v>
      </c>
    </row>
    <row r="124" spans="2:11">
      <c r="B124" s="35"/>
      <c r="C124" s="35"/>
      <c r="D124" s="35"/>
      <c r="E124" s="39"/>
      <c r="F124" s="35"/>
      <c r="G124" s="35"/>
      <c r="H124" s="35"/>
      <c r="I124" s="35"/>
      <c r="J124" s="58"/>
      <c r="K124" s="58">
        <f t="shared" si="1"/>
        <v>10</v>
      </c>
    </row>
    <row r="125" spans="2:11">
      <c r="B125" s="35"/>
      <c r="C125" s="35"/>
      <c r="D125" s="35"/>
      <c r="E125" s="39"/>
      <c r="F125" s="35"/>
      <c r="G125" s="35"/>
      <c r="H125" s="35"/>
      <c r="I125" s="35"/>
      <c r="J125" s="58"/>
      <c r="K125" s="58">
        <f t="shared" si="1"/>
        <v>10</v>
      </c>
    </row>
    <row r="126" spans="2:11">
      <c r="B126" s="35"/>
      <c r="C126" s="35"/>
      <c r="D126" s="35"/>
      <c r="E126" s="39"/>
      <c r="F126" s="35"/>
      <c r="G126" s="35"/>
      <c r="H126" s="35"/>
      <c r="I126" s="35"/>
      <c r="J126" s="58"/>
      <c r="K126" s="58">
        <f t="shared" si="1"/>
        <v>10</v>
      </c>
    </row>
    <row r="127" spans="2:11">
      <c r="B127" s="35"/>
      <c r="C127" s="35"/>
      <c r="D127" s="35"/>
      <c r="E127" s="39"/>
      <c r="F127" s="35"/>
      <c r="G127" s="35"/>
      <c r="H127" s="35"/>
      <c r="I127" s="35"/>
      <c r="J127" s="58"/>
      <c r="K127" s="58">
        <f t="shared" si="1"/>
        <v>10</v>
      </c>
    </row>
    <row r="128" spans="2:11">
      <c r="B128" s="35"/>
      <c r="C128" s="35"/>
      <c r="D128" s="35"/>
      <c r="E128" s="39"/>
      <c r="F128" s="35"/>
      <c r="G128" s="35"/>
      <c r="H128" s="35"/>
      <c r="I128" s="35"/>
      <c r="J128" s="58"/>
      <c r="K128" s="58">
        <f t="shared" si="1"/>
        <v>10</v>
      </c>
    </row>
    <row r="129" spans="2:11">
      <c r="B129" s="35"/>
      <c r="C129" s="35"/>
      <c r="D129" s="35"/>
      <c r="E129" s="39"/>
      <c r="F129" s="35"/>
      <c r="G129" s="35"/>
      <c r="H129" s="35"/>
      <c r="I129" s="35"/>
      <c r="J129" s="58"/>
      <c r="K129" s="58">
        <f t="shared" si="1"/>
        <v>10</v>
      </c>
    </row>
    <row r="130" spans="2:11">
      <c r="B130" s="35"/>
      <c r="C130" s="35"/>
      <c r="D130" s="35"/>
      <c r="E130" s="39"/>
      <c r="F130" s="35"/>
      <c r="G130" s="35"/>
      <c r="H130" s="35"/>
      <c r="I130" s="35"/>
      <c r="J130" s="58"/>
      <c r="K130" s="58">
        <f t="shared" si="1"/>
        <v>10</v>
      </c>
    </row>
    <row r="131" spans="2:11">
      <c r="B131" s="35"/>
      <c r="C131" s="35"/>
      <c r="D131" s="35"/>
      <c r="E131" s="39"/>
      <c r="F131" s="35"/>
      <c r="G131" s="35"/>
      <c r="H131" s="35"/>
      <c r="I131" s="35"/>
      <c r="J131" s="58"/>
      <c r="K131" s="58">
        <f t="shared" si="1"/>
        <v>10</v>
      </c>
    </row>
    <row r="132" spans="2:11">
      <c r="B132" s="35"/>
      <c r="C132" s="35"/>
      <c r="D132" s="35"/>
      <c r="E132" s="39"/>
      <c r="F132" s="35"/>
      <c r="G132" s="35"/>
      <c r="H132" s="35"/>
      <c r="I132" s="35"/>
      <c r="J132" s="58"/>
      <c r="K132" s="58">
        <f t="shared" si="1"/>
        <v>10</v>
      </c>
    </row>
    <row r="133" spans="2:11">
      <c r="B133" s="35"/>
      <c r="C133" s="35"/>
      <c r="D133" s="35"/>
      <c r="E133" s="39"/>
      <c r="F133" s="35"/>
      <c r="G133" s="35"/>
      <c r="H133" s="35"/>
      <c r="I133" s="35"/>
      <c r="J133" s="58"/>
      <c r="K133" s="58">
        <f>IF(J133&gt;=10,0,10-J133)</f>
        <v>10</v>
      </c>
    </row>
    <row r="134" spans="2:11">
      <c r="B134" s="35"/>
      <c r="C134" s="35"/>
      <c r="D134" s="35"/>
      <c r="E134" s="39"/>
      <c r="F134" s="35"/>
      <c r="G134" s="35"/>
      <c r="H134" s="35"/>
      <c r="I134" s="35"/>
      <c r="J134" s="58"/>
      <c r="K134" s="58">
        <f>IF(J134&gt;=10,0,10-J134)</f>
        <v>10</v>
      </c>
    </row>
    <row r="147" spans="2:11">
      <c r="E147" s="2"/>
    </row>
    <row r="148" spans="2:11">
      <c r="E148" s="36"/>
    </row>
    <row r="149" spans="2:11">
      <c r="E149" s="36"/>
    </row>
    <row r="150" spans="2:11">
      <c r="E150" s="36"/>
    </row>
    <row r="151" spans="2:11">
      <c r="E151" s="36"/>
    </row>
    <row r="152" spans="2:11">
      <c r="E152" s="36"/>
    </row>
    <row r="154" spans="2:11">
      <c r="B154" s="33"/>
      <c r="C154" s="33"/>
      <c r="D154" s="33"/>
      <c r="E154" s="33"/>
      <c r="F154" s="33"/>
      <c r="G154" s="33"/>
      <c r="H154" s="33"/>
      <c r="I154" s="33"/>
      <c r="J154" s="33"/>
      <c r="K154" s="33"/>
    </row>
    <row r="155" spans="2:11">
      <c r="E155" s="2"/>
    </row>
    <row r="156" spans="2:11">
      <c r="E156" s="36"/>
    </row>
    <row r="157" spans="2:11">
      <c r="E157" s="36"/>
    </row>
    <row r="158" spans="2:11">
      <c r="E158" s="36"/>
    </row>
    <row r="159" spans="2:11">
      <c r="E159" s="36"/>
    </row>
    <row r="160" spans="2:11">
      <c r="E160" s="36"/>
    </row>
    <row r="161" spans="5:5">
      <c r="E161" s="36"/>
    </row>
    <row r="162" spans="5:5">
      <c r="E162" s="36"/>
    </row>
    <row r="163" spans="5:5">
      <c r="E163" s="36"/>
    </row>
    <row r="164" spans="5:5">
      <c r="E164" s="36"/>
    </row>
    <row r="165" spans="5:5">
      <c r="E165" s="36"/>
    </row>
    <row r="166" spans="5:5">
      <c r="E166" s="36"/>
    </row>
    <row r="167" spans="5:5">
      <c r="E167" s="36"/>
    </row>
    <row r="168" spans="5:5">
      <c r="E168" s="36"/>
    </row>
    <row r="169" spans="5:5">
      <c r="E169" s="36"/>
    </row>
    <row r="170" spans="5:5">
      <c r="E170" s="36"/>
    </row>
    <row r="171" spans="5:5">
      <c r="E171" s="36"/>
    </row>
    <row r="172" spans="5:5">
      <c r="E172" s="36"/>
    </row>
    <row r="173" spans="5:5">
      <c r="E173" s="36"/>
    </row>
    <row r="174" spans="5:5">
      <c r="E174" s="36"/>
    </row>
    <row r="175" spans="5:5">
      <c r="E175" s="36"/>
    </row>
    <row r="176" spans="5:5">
      <c r="E176" s="36"/>
    </row>
    <row r="177" spans="5:5">
      <c r="E177" s="36"/>
    </row>
    <row r="178" spans="5:5">
      <c r="E178" s="36"/>
    </row>
    <row r="179" spans="5:5">
      <c r="E179" s="36"/>
    </row>
    <row r="180" spans="5:5">
      <c r="E180" s="36"/>
    </row>
    <row r="181" spans="5:5">
      <c r="E181" s="36"/>
    </row>
    <row r="182" spans="5:5">
      <c r="E182" s="36"/>
    </row>
    <row r="183" spans="5:5">
      <c r="E183" s="36"/>
    </row>
    <row r="184" spans="5:5">
      <c r="E184" s="36"/>
    </row>
    <row r="185" spans="5:5">
      <c r="E185" s="36"/>
    </row>
    <row r="186" spans="5:5">
      <c r="E186" s="36"/>
    </row>
    <row r="187" spans="5:5">
      <c r="E187" s="36"/>
    </row>
    <row r="188" spans="5:5">
      <c r="E188" s="36"/>
    </row>
    <row r="189" spans="5:5">
      <c r="E189" s="36"/>
    </row>
    <row r="190" spans="5:5">
      <c r="E190" s="36"/>
    </row>
    <row r="191" spans="5:5">
      <c r="E191" s="36"/>
    </row>
    <row r="192" spans="5:5">
      <c r="E192" s="36"/>
    </row>
    <row r="193" spans="5:5">
      <c r="E193" s="36"/>
    </row>
    <row r="194" spans="5:5">
      <c r="E194" s="36"/>
    </row>
    <row r="195" spans="5:5">
      <c r="E195" s="36"/>
    </row>
    <row r="196" spans="5:5">
      <c r="E196" s="36"/>
    </row>
    <row r="197" spans="5:5">
      <c r="E197" s="36"/>
    </row>
    <row r="198" spans="5:5">
      <c r="E198" s="36"/>
    </row>
    <row r="199" spans="5:5">
      <c r="E199" s="36"/>
    </row>
    <row r="200" spans="5:5">
      <c r="E200" s="36"/>
    </row>
    <row r="201" spans="5:5">
      <c r="E201" s="36"/>
    </row>
    <row r="202" spans="5:5">
      <c r="E202" s="36"/>
    </row>
    <row r="203" spans="5:5">
      <c r="E203" s="36"/>
    </row>
    <row r="204" spans="5:5">
      <c r="E204" s="36"/>
    </row>
    <row r="205" spans="5:5">
      <c r="E205" s="36"/>
    </row>
    <row r="206" spans="5:5">
      <c r="E206" s="36"/>
    </row>
    <row r="207" spans="5:5">
      <c r="E207" s="36"/>
    </row>
    <row r="208" spans="5:5">
      <c r="E208" s="36"/>
    </row>
    <row r="209" spans="5:5">
      <c r="E209" s="36"/>
    </row>
    <row r="210" spans="5:5">
      <c r="E210" s="36"/>
    </row>
    <row r="211" spans="5:5">
      <c r="E211" s="36"/>
    </row>
    <row r="212" spans="5:5">
      <c r="E212" s="36"/>
    </row>
    <row r="213" spans="5:5">
      <c r="E213" s="36"/>
    </row>
    <row r="214" spans="5:5">
      <c r="E214" s="36"/>
    </row>
    <row r="215" spans="5:5">
      <c r="E215" s="36"/>
    </row>
    <row r="216" spans="5:5">
      <c r="E216" s="36"/>
    </row>
    <row r="217" spans="5:5">
      <c r="E217" s="36"/>
    </row>
    <row r="218" spans="5:5">
      <c r="E218" s="36"/>
    </row>
    <row r="219" spans="5:5">
      <c r="E219" s="36"/>
    </row>
  </sheetData>
  <autoFilter ref="B3:K134" xr:uid="{9D68D787-AEB7-4E19-BE56-D807F75E43AB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91A5-5597-44A6-8743-FA722CD3C804}">
  <dimension ref="A1:AA44"/>
  <sheetViews>
    <sheetView workbookViewId="0"/>
  </sheetViews>
  <sheetFormatPr defaultColWidth="11.42578125" defaultRowHeight="14.45"/>
  <cols>
    <col min="1" max="1" width="4.42578125" style="36" customWidth="1"/>
    <col min="2" max="2" width="20.5703125" customWidth="1"/>
    <col min="3" max="3" width="21.28515625" bestFit="1" customWidth="1"/>
    <col min="7" max="7" width="4.85546875" style="36" customWidth="1"/>
    <col min="8" max="8" width="13.85546875" customWidth="1"/>
    <col min="9" max="9" width="13.28515625" customWidth="1"/>
    <col min="10" max="11" width="15" customWidth="1"/>
    <col min="12" max="12" width="12.140625" customWidth="1"/>
    <col min="13" max="13" width="15.7109375" customWidth="1"/>
    <col min="14" max="14" width="22.28515625" customWidth="1"/>
    <col min="15" max="15" width="9.140625" customWidth="1"/>
    <col min="17" max="17" width="25" bestFit="1" customWidth="1"/>
    <col min="18" max="18" width="15.7109375" customWidth="1"/>
    <col min="19" max="19" width="16.140625" customWidth="1"/>
    <col min="20" max="20" width="17.5703125" customWidth="1"/>
    <col min="26" max="26" width="23.28515625" bestFit="1" customWidth="1"/>
  </cols>
  <sheetData>
    <row r="1" spans="2:27">
      <c r="P1" s="59" t="s">
        <v>106</v>
      </c>
      <c r="Q1" s="59"/>
      <c r="V1" s="40" t="s">
        <v>107</v>
      </c>
    </row>
    <row r="2" spans="2:27" s="42" customFormat="1" ht="86.45">
      <c r="B2" s="41" t="s">
        <v>108</v>
      </c>
      <c r="C2" s="41" t="s">
        <v>109</v>
      </c>
      <c r="D2" s="41" t="s">
        <v>110</v>
      </c>
      <c r="E2" s="60" t="s">
        <v>111</v>
      </c>
      <c r="F2" s="60" t="s">
        <v>112</v>
      </c>
      <c r="G2" s="41" t="s">
        <v>113</v>
      </c>
      <c r="H2" s="41" t="s">
        <v>114</v>
      </c>
      <c r="I2" s="41" t="s">
        <v>115</v>
      </c>
      <c r="J2" s="62" t="s">
        <v>116</v>
      </c>
      <c r="K2" s="62" t="s">
        <v>117</v>
      </c>
      <c r="L2" s="62" t="s">
        <v>118</v>
      </c>
      <c r="M2" s="41" t="s">
        <v>119</v>
      </c>
      <c r="N2" s="41" t="s">
        <v>120</v>
      </c>
      <c r="O2" s="41" t="s">
        <v>121</v>
      </c>
      <c r="P2" s="41" t="s">
        <v>122</v>
      </c>
      <c r="Q2" s="60" t="s">
        <v>123</v>
      </c>
      <c r="R2" s="43" t="s">
        <v>124</v>
      </c>
      <c r="S2" s="41" t="s">
        <v>125</v>
      </c>
      <c r="T2" s="41" t="s">
        <v>126</v>
      </c>
      <c r="U2" s="130"/>
      <c r="W2"/>
      <c r="X2"/>
      <c r="Y2"/>
      <c r="Z2"/>
      <c r="AA2"/>
    </row>
    <row r="3" spans="2:27">
      <c r="B3" s="4"/>
      <c r="C3" s="4"/>
      <c r="D3" s="4"/>
      <c r="E3" s="121"/>
      <c r="F3" s="121">
        <f t="shared" ref="F3:F19" si="0">IF(J3&gt;=2019,E3,0)</f>
        <v>0</v>
      </c>
      <c r="G3" s="120"/>
      <c r="H3" s="122"/>
      <c r="I3" s="122">
        <f>H3</f>
        <v>0</v>
      </c>
      <c r="J3" s="123">
        <f t="shared" ref="J3:J22" si="1">YEAR(H3)</f>
        <v>1900</v>
      </c>
      <c r="K3" s="123">
        <f>2026-J3+1</f>
        <v>127</v>
      </c>
      <c r="L3" s="123">
        <f t="shared" ref="L3:L22" si="2">IF(K3&gt;5,0,1)</f>
        <v>0</v>
      </c>
      <c r="M3" s="4"/>
      <c r="N3" s="4"/>
      <c r="O3" s="4"/>
      <c r="P3" s="4"/>
      <c r="Q3" s="121"/>
      <c r="R3" s="102">
        <f t="shared" ref="R3:R22" si="3">Q3*P3/100</f>
        <v>0</v>
      </c>
      <c r="S3" s="4"/>
      <c r="T3" s="4"/>
      <c r="X3" t="s">
        <v>127</v>
      </c>
      <c r="Y3" t="s">
        <v>128</v>
      </c>
      <c r="Z3" t="s">
        <v>129</v>
      </c>
    </row>
    <row r="4" spans="2:27">
      <c r="B4" s="4"/>
      <c r="C4" s="4"/>
      <c r="D4" s="4"/>
      <c r="E4" s="121"/>
      <c r="F4" s="121">
        <f t="shared" si="0"/>
        <v>0</v>
      </c>
      <c r="G4" s="120"/>
      <c r="H4" s="122"/>
      <c r="I4" s="122">
        <f t="shared" ref="I4:I22" si="4">H4</f>
        <v>0</v>
      </c>
      <c r="J4" s="123">
        <f t="shared" si="1"/>
        <v>1900</v>
      </c>
      <c r="K4" s="123">
        <f t="shared" ref="K4:K22" si="5">2026-J4+1</f>
        <v>127</v>
      </c>
      <c r="L4" s="123">
        <f t="shared" si="2"/>
        <v>0</v>
      </c>
      <c r="M4" s="4"/>
      <c r="N4" s="4"/>
      <c r="O4" s="4"/>
      <c r="P4" s="4"/>
      <c r="Q4" s="121"/>
      <c r="R4" s="102">
        <f t="shared" si="3"/>
        <v>0</v>
      </c>
      <c r="S4" s="4"/>
      <c r="T4" s="4"/>
      <c r="U4" s="4" t="s">
        <v>130</v>
      </c>
      <c r="V4" s="136">
        <f>SUMIF($M$3:$M$40,U4,$R$3:$R$40)</f>
        <v>0</v>
      </c>
      <c r="W4" s="134" t="s">
        <v>17</v>
      </c>
      <c r="X4" s="61">
        <f>0.2516*V4</f>
        <v>0</v>
      </c>
    </row>
    <row r="5" spans="2:27">
      <c r="B5" s="4"/>
      <c r="C5" s="4"/>
      <c r="D5" s="4"/>
      <c r="E5" s="121"/>
      <c r="F5" s="121">
        <f t="shared" si="0"/>
        <v>0</v>
      </c>
      <c r="G5" s="120"/>
      <c r="H5" s="122"/>
      <c r="I5" s="122">
        <f t="shared" si="4"/>
        <v>0</v>
      </c>
      <c r="J5" s="123">
        <f t="shared" si="1"/>
        <v>1900</v>
      </c>
      <c r="K5" s="123">
        <f t="shared" si="5"/>
        <v>127</v>
      </c>
      <c r="L5" s="123">
        <f t="shared" si="2"/>
        <v>0</v>
      </c>
      <c r="M5" s="4"/>
      <c r="N5" s="4"/>
      <c r="O5" s="4"/>
      <c r="P5" s="4"/>
      <c r="Q5" s="121"/>
      <c r="R5" s="102">
        <f t="shared" si="3"/>
        <v>0</v>
      </c>
      <c r="S5" s="4"/>
      <c r="T5" s="4"/>
      <c r="U5" s="4" t="s">
        <v>131</v>
      </c>
      <c r="V5" s="136">
        <f>SUMIF($M$3:$M$41,U5,$R$3:$R$41)</f>
        <v>0</v>
      </c>
      <c r="W5" s="134" t="s">
        <v>132</v>
      </c>
      <c r="X5" s="61">
        <f>1.85*V5</f>
        <v>0</v>
      </c>
    </row>
    <row r="6" spans="2:27">
      <c r="B6" s="4"/>
      <c r="C6" s="4"/>
      <c r="D6" s="4"/>
      <c r="E6" s="121"/>
      <c r="F6" s="121">
        <f t="shared" si="0"/>
        <v>0</v>
      </c>
      <c r="G6" s="120"/>
      <c r="H6" s="122"/>
      <c r="I6" s="122">
        <f t="shared" si="4"/>
        <v>0</v>
      </c>
      <c r="J6" s="123">
        <f t="shared" si="1"/>
        <v>1900</v>
      </c>
      <c r="K6" s="123">
        <f t="shared" si="5"/>
        <v>127</v>
      </c>
      <c r="L6" s="123">
        <f t="shared" si="2"/>
        <v>0</v>
      </c>
      <c r="M6" s="4"/>
      <c r="N6" s="4"/>
      <c r="O6" s="4"/>
      <c r="P6" s="4"/>
      <c r="Q6" s="121"/>
      <c r="R6" s="102">
        <f t="shared" si="3"/>
        <v>0</v>
      </c>
      <c r="S6" s="4"/>
      <c r="T6" s="4"/>
      <c r="U6" s="129" t="s">
        <v>133</v>
      </c>
      <c r="V6" s="136">
        <f>SUMIF($M$3:$M$41,U6,$R$3:$R$41)</f>
        <v>0</v>
      </c>
      <c r="W6" t="s">
        <v>132</v>
      </c>
      <c r="X6" s="61">
        <f>1.121*V6</f>
        <v>0</v>
      </c>
      <c r="Z6" s="137"/>
    </row>
    <row r="7" spans="2:27">
      <c r="B7" s="4"/>
      <c r="C7" s="4"/>
      <c r="D7" s="4"/>
      <c r="E7" s="121"/>
      <c r="F7" s="121">
        <f t="shared" si="0"/>
        <v>0</v>
      </c>
      <c r="G7" s="120"/>
      <c r="H7" s="122"/>
      <c r="I7" s="122">
        <f t="shared" si="4"/>
        <v>0</v>
      </c>
      <c r="J7" s="123">
        <f t="shared" si="1"/>
        <v>1900</v>
      </c>
      <c r="K7" s="123">
        <f t="shared" si="5"/>
        <v>127</v>
      </c>
      <c r="L7" s="123">
        <f t="shared" si="2"/>
        <v>0</v>
      </c>
      <c r="M7" s="4"/>
      <c r="N7" s="4"/>
      <c r="O7" s="4"/>
      <c r="P7" s="4"/>
      <c r="Q7" s="121"/>
      <c r="R7" s="102">
        <f t="shared" si="3"/>
        <v>0</v>
      </c>
      <c r="S7" s="4"/>
      <c r="T7" s="4"/>
      <c r="W7" t="s">
        <v>134</v>
      </c>
      <c r="X7" s="138">
        <f>SUM(X4:X6)</f>
        <v>0</v>
      </c>
      <c r="Z7" s="137"/>
    </row>
    <row r="8" spans="2:27">
      <c r="B8" s="4"/>
      <c r="C8" s="4"/>
      <c r="D8" s="4"/>
      <c r="E8" s="121"/>
      <c r="F8" s="121">
        <f t="shared" si="0"/>
        <v>0</v>
      </c>
      <c r="G8" s="120"/>
      <c r="H8" s="122"/>
      <c r="I8" s="122">
        <f t="shared" si="4"/>
        <v>0</v>
      </c>
      <c r="J8" s="123">
        <f t="shared" si="1"/>
        <v>1900</v>
      </c>
      <c r="K8" s="123">
        <f t="shared" si="5"/>
        <v>127</v>
      </c>
      <c r="L8" s="123">
        <f t="shared" si="2"/>
        <v>0</v>
      </c>
      <c r="M8" s="4"/>
      <c r="N8" s="4"/>
      <c r="O8" s="4"/>
      <c r="P8" s="4"/>
      <c r="Q8" s="121"/>
      <c r="R8" s="102">
        <f t="shared" si="3"/>
        <v>0</v>
      </c>
      <c r="S8" s="4"/>
      <c r="T8" s="4"/>
    </row>
    <row r="9" spans="2:27">
      <c r="B9" s="4"/>
      <c r="C9" s="4"/>
      <c r="D9" s="4"/>
      <c r="E9" s="121"/>
      <c r="F9" s="121">
        <f t="shared" si="0"/>
        <v>0</v>
      </c>
      <c r="G9" s="120"/>
      <c r="H9" s="122"/>
      <c r="I9" s="122">
        <f t="shared" si="4"/>
        <v>0</v>
      </c>
      <c r="J9" s="123">
        <f t="shared" si="1"/>
        <v>1900</v>
      </c>
      <c r="K9" s="123">
        <f t="shared" si="5"/>
        <v>127</v>
      </c>
      <c r="L9" s="123">
        <f t="shared" si="2"/>
        <v>0</v>
      </c>
      <c r="M9" s="4"/>
      <c r="N9" s="4"/>
      <c r="O9" s="4"/>
      <c r="P9" s="4"/>
      <c r="Q9" s="121"/>
      <c r="R9" s="102">
        <f t="shared" si="3"/>
        <v>0</v>
      </c>
      <c r="S9" s="4"/>
      <c r="T9" s="4"/>
    </row>
    <row r="10" spans="2:27">
      <c r="B10" s="4"/>
      <c r="C10" s="4"/>
      <c r="D10" s="4"/>
      <c r="E10" s="121"/>
      <c r="F10" s="121">
        <f t="shared" si="0"/>
        <v>0</v>
      </c>
      <c r="G10" s="120"/>
      <c r="H10" s="122"/>
      <c r="I10" s="122">
        <f t="shared" si="4"/>
        <v>0</v>
      </c>
      <c r="J10" s="123">
        <f t="shared" si="1"/>
        <v>1900</v>
      </c>
      <c r="K10" s="123">
        <f t="shared" si="5"/>
        <v>127</v>
      </c>
      <c r="L10" s="123">
        <f t="shared" si="2"/>
        <v>0</v>
      </c>
      <c r="M10" s="4"/>
      <c r="N10" s="4"/>
      <c r="O10" s="4"/>
      <c r="P10" s="4"/>
      <c r="Q10" s="121"/>
      <c r="R10" s="102">
        <f t="shared" si="3"/>
        <v>0</v>
      </c>
      <c r="S10" s="4"/>
      <c r="T10" s="4"/>
    </row>
    <row r="11" spans="2:27">
      <c r="B11" s="4"/>
      <c r="C11" s="4"/>
      <c r="D11" s="4"/>
      <c r="E11" s="121"/>
      <c r="F11" s="121">
        <f t="shared" si="0"/>
        <v>0</v>
      </c>
      <c r="G11" s="120"/>
      <c r="H11" s="122"/>
      <c r="I11" s="122">
        <f t="shared" si="4"/>
        <v>0</v>
      </c>
      <c r="J11" s="123">
        <f t="shared" si="1"/>
        <v>1900</v>
      </c>
      <c r="K11" s="123">
        <f t="shared" si="5"/>
        <v>127</v>
      </c>
      <c r="L11" s="123">
        <f t="shared" si="2"/>
        <v>0</v>
      </c>
      <c r="M11" s="4"/>
      <c r="N11" s="4"/>
      <c r="O11" s="4"/>
      <c r="P11" s="4"/>
      <c r="Q11" s="121"/>
      <c r="R11" s="102">
        <f t="shared" si="3"/>
        <v>0</v>
      </c>
      <c r="S11" s="4"/>
      <c r="T11" s="4"/>
    </row>
    <row r="12" spans="2:27">
      <c r="B12" s="4"/>
      <c r="C12" s="4"/>
      <c r="D12" s="4"/>
      <c r="E12" s="121"/>
      <c r="F12" s="121">
        <f t="shared" si="0"/>
        <v>0</v>
      </c>
      <c r="G12" s="120"/>
      <c r="H12" s="122"/>
      <c r="I12" s="122">
        <f t="shared" si="4"/>
        <v>0</v>
      </c>
      <c r="J12" s="123">
        <f t="shared" si="1"/>
        <v>1900</v>
      </c>
      <c r="K12" s="123">
        <f t="shared" si="5"/>
        <v>127</v>
      </c>
      <c r="L12" s="123">
        <f t="shared" si="2"/>
        <v>0</v>
      </c>
      <c r="M12" s="4"/>
      <c r="N12" s="4"/>
      <c r="O12" s="4"/>
      <c r="P12" s="4"/>
      <c r="Q12" s="121"/>
      <c r="R12" s="102">
        <f t="shared" si="3"/>
        <v>0</v>
      </c>
      <c r="S12" s="4"/>
      <c r="T12" s="4"/>
    </row>
    <row r="13" spans="2:27">
      <c r="B13" s="4"/>
      <c r="C13" s="4"/>
      <c r="D13" s="4"/>
      <c r="E13" s="121"/>
      <c r="F13" s="121">
        <f t="shared" si="0"/>
        <v>0</v>
      </c>
      <c r="G13" s="120"/>
      <c r="H13" s="122"/>
      <c r="I13" s="122">
        <f t="shared" si="4"/>
        <v>0</v>
      </c>
      <c r="J13" s="123">
        <f t="shared" si="1"/>
        <v>1900</v>
      </c>
      <c r="K13" s="123">
        <f t="shared" si="5"/>
        <v>127</v>
      </c>
      <c r="L13" s="123">
        <f t="shared" si="2"/>
        <v>0</v>
      </c>
      <c r="M13" s="4"/>
      <c r="N13" s="4"/>
      <c r="O13" s="4"/>
      <c r="P13" s="4"/>
      <c r="Q13" s="121"/>
      <c r="R13" s="102">
        <f t="shared" si="3"/>
        <v>0</v>
      </c>
      <c r="S13" s="4"/>
      <c r="T13" s="4"/>
    </row>
    <row r="14" spans="2:27">
      <c r="B14" s="4"/>
      <c r="C14" s="4"/>
      <c r="D14" s="4"/>
      <c r="E14" s="121"/>
      <c r="F14" s="121">
        <f t="shared" si="0"/>
        <v>0</v>
      </c>
      <c r="G14" s="120"/>
      <c r="H14" s="122"/>
      <c r="I14" s="122">
        <f t="shared" si="4"/>
        <v>0</v>
      </c>
      <c r="J14" s="123">
        <f t="shared" si="1"/>
        <v>1900</v>
      </c>
      <c r="K14" s="123">
        <f t="shared" si="5"/>
        <v>127</v>
      </c>
      <c r="L14" s="123">
        <f t="shared" si="2"/>
        <v>0</v>
      </c>
      <c r="M14" s="4"/>
      <c r="N14" s="4"/>
      <c r="O14" s="4"/>
      <c r="P14" s="4"/>
      <c r="Q14" s="121"/>
      <c r="R14" s="102">
        <f t="shared" si="3"/>
        <v>0</v>
      </c>
      <c r="S14" s="4"/>
      <c r="T14" s="4"/>
    </row>
    <row r="15" spans="2:27">
      <c r="B15" s="4"/>
      <c r="C15" s="4"/>
      <c r="D15" s="4"/>
      <c r="E15" s="121"/>
      <c r="F15" s="121">
        <f t="shared" si="0"/>
        <v>0</v>
      </c>
      <c r="G15" s="120"/>
      <c r="H15" s="122"/>
      <c r="I15" s="122">
        <f t="shared" si="4"/>
        <v>0</v>
      </c>
      <c r="J15" s="123">
        <f t="shared" si="1"/>
        <v>1900</v>
      </c>
      <c r="K15" s="123">
        <f t="shared" si="5"/>
        <v>127</v>
      </c>
      <c r="L15" s="123">
        <f t="shared" si="2"/>
        <v>0</v>
      </c>
      <c r="M15" s="4"/>
      <c r="N15" s="4"/>
      <c r="O15" s="4"/>
      <c r="P15" s="4"/>
      <c r="Q15" s="121"/>
      <c r="R15" s="102">
        <f t="shared" si="3"/>
        <v>0</v>
      </c>
      <c r="S15" s="4"/>
      <c r="T15" s="4"/>
    </row>
    <row r="16" spans="2:27">
      <c r="B16" s="4"/>
      <c r="C16" s="4"/>
      <c r="D16" s="4"/>
      <c r="E16" s="121"/>
      <c r="F16" s="121">
        <f t="shared" si="0"/>
        <v>0</v>
      </c>
      <c r="G16" s="120"/>
      <c r="H16" s="122"/>
      <c r="I16" s="122">
        <f t="shared" si="4"/>
        <v>0</v>
      </c>
      <c r="J16" s="123">
        <f t="shared" si="1"/>
        <v>1900</v>
      </c>
      <c r="K16" s="123">
        <f t="shared" si="5"/>
        <v>127</v>
      </c>
      <c r="L16" s="123">
        <f t="shared" si="2"/>
        <v>0</v>
      </c>
      <c r="M16" s="4"/>
      <c r="N16" s="4"/>
      <c r="O16" s="4"/>
      <c r="P16" s="4"/>
      <c r="Q16" s="121"/>
      <c r="R16" s="102">
        <f t="shared" si="3"/>
        <v>0</v>
      </c>
      <c r="S16" s="4"/>
      <c r="T16" s="4"/>
    </row>
    <row r="17" spans="2:20">
      <c r="B17" s="4"/>
      <c r="C17" s="4"/>
      <c r="D17" s="4"/>
      <c r="E17" s="121"/>
      <c r="F17" s="121">
        <f t="shared" si="0"/>
        <v>0</v>
      </c>
      <c r="G17" s="120"/>
      <c r="H17" s="122"/>
      <c r="I17" s="122">
        <f t="shared" si="4"/>
        <v>0</v>
      </c>
      <c r="J17" s="123">
        <f t="shared" si="1"/>
        <v>1900</v>
      </c>
      <c r="K17" s="123">
        <f t="shared" si="5"/>
        <v>127</v>
      </c>
      <c r="L17" s="123">
        <f t="shared" si="2"/>
        <v>0</v>
      </c>
      <c r="M17" s="4"/>
      <c r="N17" s="4"/>
      <c r="O17" s="4"/>
      <c r="P17" s="4"/>
      <c r="Q17" s="121"/>
      <c r="R17" s="102">
        <f t="shared" si="3"/>
        <v>0</v>
      </c>
      <c r="S17" s="4"/>
      <c r="T17" s="4"/>
    </row>
    <row r="18" spans="2:20">
      <c r="B18" s="4"/>
      <c r="C18" s="4"/>
      <c r="D18" s="4"/>
      <c r="E18" s="121"/>
      <c r="F18" s="121">
        <f t="shared" si="0"/>
        <v>0</v>
      </c>
      <c r="G18" s="120"/>
      <c r="H18" s="122"/>
      <c r="I18" s="122">
        <f t="shared" si="4"/>
        <v>0</v>
      </c>
      <c r="J18" s="123">
        <f t="shared" si="1"/>
        <v>1900</v>
      </c>
      <c r="K18" s="123">
        <f t="shared" si="5"/>
        <v>127</v>
      </c>
      <c r="L18" s="123">
        <f t="shared" si="2"/>
        <v>0</v>
      </c>
      <c r="M18" s="4"/>
      <c r="N18" s="4"/>
      <c r="O18" s="4"/>
      <c r="P18" s="4"/>
      <c r="Q18" s="121"/>
      <c r="R18" s="102">
        <f t="shared" si="3"/>
        <v>0</v>
      </c>
      <c r="S18" s="4"/>
      <c r="T18" s="4"/>
    </row>
    <row r="19" spans="2:20">
      <c r="B19" s="4"/>
      <c r="C19" s="4"/>
      <c r="D19" s="4"/>
      <c r="E19" s="124"/>
      <c r="F19" s="124">
        <f t="shared" si="0"/>
        <v>0</v>
      </c>
      <c r="G19" s="125"/>
      <c r="H19" s="126"/>
      <c r="I19" s="122">
        <f t="shared" si="4"/>
        <v>0</v>
      </c>
      <c r="J19" s="127">
        <f t="shared" si="1"/>
        <v>1900</v>
      </c>
      <c r="K19" s="123">
        <f t="shared" si="5"/>
        <v>127</v>
      </c>
      <c r="L19" s="123">
        <f t="shared" si="2"/>
        <v>0</v>
      </c>
      <c r="M19" s="128"/>
      <c r="N19" s="128"/>
      <c r="O19" s="128"/>
      <c r="P19" s="128"/>
      <c r="Q19" s="124"/>
      <c r="R19" s="102">
        <f t="shared" si="3"/>
        <v>0</v>
      </c>
      <c r="S19" s="128"/>
      <c r="T19" s="4"/>
    </row>
    <row r="20" spans="2:20">
      <c r="B20" s="4"/>
      <c r="C20" s="4"/>
      <c r="D20" s="4"/>
      <c r="E20" s="124"/>
      <c r="F20" s="124">
        <f t="shared" ref="F20:F21" si="6">IF(J20&gt;=2019,E20,0)</f>
        <v>0</v>
      </c>
      <c r="G20" s="125"/>
      <c r="H20" s="126"/>
      <c r="I20" s="122">
        <f t="shared" si="4"/>
        <v>0</v>
      </c>
      <c r="J20" s="127">
        <f t="shared" si="1"/>
        <v>1900</v>
      </c>
      <c r="K20" s="123">
        <f t="shared" si="5"/>
        <v>127</v>
      </c>
      <c r="L20" s="123">
        <f t="shared" si="2"/>
        <v>0</v>
      </c>
      <c r="M20" s="128"/>
      <c r="N20" s="128"/>
      <c r="O20" s="128"/>
      <c r="P20" s="128"/>
      <c r="Q20" s="124"/>
      <c r="R20" s="102">
        <f t="shared" si="3"/>
        <v>0</v>
      </c>
      <c r="S20" s="128"/>
      <c r="T20" s="4"/>
    </row>
    <row r="21" spans="2:20">
      <c r="B21" s="4"/>
      <c r="C21" s="4"/>
      <c r="D21" s="4"/>
      <c r="E21" s="124"/>
      <c r="F21" s="124">
        <f t="shared" si="6"/>
        <v>0</v>
      </c>
      <c r="G21" s="125"/>
      <c r="H21" s="126"/>
      <c r="I21" s="122">
        <f t="shared" si="4"/>
        <v>0</v>
      </c>
      <c r="J21" s="127">
        <f t="shared" si="1"/>
        <v>1900</v>
      </c>
      <c r="K21" s="123">
        <f t="shared" si="5"/>
        <v>127</v>
      </c>
      <c r="L21" s="123">
        <f t="shared" si="2"/>
        <v>0</v>
      </c>
      <c r="M21" s="128"/>
      <c r="N21" s="128"/>
      <c r="O21" s="128"/>
      <c r="P21" s="128"/>
      <c r="Q21" s="124"/>
      <c r="R21" s="102">
        <f t="shared" si="3"/>
        <v>0</v>
      </c>
      <c r="S21" s="128"/>
      <c r="T21" s="4"/>
    </row>
    <row r="22" spans="2:20">
      <c r="B22" s="4"/>
      <c r="C22" s="4"/>
      <c r="D22" s="4"/>
      <c r="E22" s="124"/>
      <c r="F22" s="124">
        <f>IF(J22&gt;=2019,E22,0)</f>
        <v>0</v>
      </c>
      <c r="G22" s="125"/>
      <c r="H22" s="126"/>
      <c r="I22" s="122">
        <f t="shared" si="4"/>
        <v>0</v>
      </c>
      <c r="J22" s="127">
        <f t="shared" si="1"/>
        <v>1900</v>
      </c>
      <c r="K22" s="123">
        <f t="shared" si="5"/>
        <v>127</v>
      </c>
      <c r="L22" s="123">
        <f t="shared" si="2"/>
        <v>0</v>
      </c>
      <c r="M22" s="128"/>
      <c r="N22" s="128"/>
      <c r="O22" s="128"/>
      <c r="P22" s="128"/>
      <c r="Q22" s="124"/>
      <c r="R22" s="102">
        <f t="shared" si="3"/>
        <v>0</v>
      </c>
      <c r="S22" s="128"/>
      <c r="T22" s="4"/>
    </row>
    <row r="24" spans="2:20">
      <c r="E24" s="130"/>
      <c r="F24" s="130"/>
      <c r="H24" s="131"/>
      <c r="I24" s="131"/>
      <c r="J24" s="132"/>
      <c r="K24" s="132"/>
      <c r="L24" s="132"/>
      <c r="Q24" s="130"/>
      <c r="R24" s="133"/>
    </row>
    <row r="25" spans="2:20">
      <c r="C25" s="134"/>
      <c r="D25" s="134"/>
      <c r="E25" s="139"/>
      <c r="F25" s="139"/>
      <c r="G25" s="140"/>
      <c r="H25" s="134"/>
      <c r="I25" s="134"/>
      <c r="J25" s="134"/>
      <c r="K25" s="132"/>
      <c r="L25" s="132"/>
      <c r="M25" s="134"/>
      <c r="N25" s="134"/>
      <c r="O25" s="134"/>
      <c r="P25" s="134"/>
      <c r="Q25" s="139"/>
      <c r="R25" s="141"/>
      <c r="S25" s="134"/>
    </row>
    <row r="26" spans="2:20">
      <c r="C26" s="134"/>
      <c r="D26" s="134"/>
      <c r="E26" s="139"/>
      <c r="F26" s="139"/>
      <c r="G26" s="140"/>
      <c r="H26" s="134"/>
      <c r="I26" s="134"/>
      <c r="J26" s="134"/>
      <c r="K26" s="132"/>
      <c r="L26" s="132"/>
      <c r="M26" s="134"/>
      <c r="N26" s="134"/>
      <c r="O26" s="134"/>
      <c r="P26" s="134"/>
      <c r="Q26" s="139"/>
      <c r="R26" s="141"/>
      <c r="S26" s="134"/>
    </row>
    <row r="27" spans="2:20">
      <c r="C27" s="134"/>
      <c r="D27" s="134"/>
      <c r="E27" s="139"/>
      <c r="F27" s="139"/>
      <c r="G27" s="140"/>
      <c r="H27" s="134"/>
      <c r="I27" s="142"/>
      <c r="J27" s="142"/>
      <c r="K27" s="132"/>
      <c r="L27" s="132"/>
      <c r="M27" s="134"/>
      <c r="N27" s="134"/>
      <c r="O27" s="134"/>
      <c r="P27" s="134"/>
      <c r="Q27" s="139"/>
      <c r="R27" s="141"/>
      <c r="S27" s="134"/>
    </row>
    <row r="28" spans="2:20">
      <c r="C28" s="134"/>
      <c r="D28" s="134"/>
      <c r="E28" s="139"/>
      <c r="F28" s="139"/>
      <c r="G28" s="140"/>
      <c r="H28" s="134"/>
      <c r="I28" s="134"/>
      <c r="J28" s="134"/>
      <c r="K28" s="132"/>
      <c r="L28" s="132"/>
      <c r="M28" s="134"/>
      <c r="N28" s="134"/>
      <c r="O28" s="134"/>
      <c r="P28" s="134"/>
      <c r="Q28" s="139"/>
      <c r="R28" s="141"/>
      <c r="S28" s="134"/>
    </row>
    <row r="29" spans="2:20">
      <c r="C29" s="134"/>
      <c r="D29" s="134"/>
      <c r="E29" s="130"/>
      <c r="F29" s="130"/>
      <c r="G29" s="140"/>
      <c r="H29" s="134"/>
      <c r="I29" s="142"/>
      <c r="J29" s="142"/>
      <c r="K29" s="132"/>
      <c r="L29" s="132"/>
      <c r="M29" s="134"/>
      <c r="N29" s="134"/>
      <c r="O29" s="134"/>
      <c r="Q29" s="130"/>
      <c r="R29" s="141"/>
      <c r="S29" s="134"/>
    </row>
    <row r="30" spans="2:20">
      <c r="C30" s="134"/>
      <c r="D30" s="134"/>
      <c r="E30" s="139"/>
      <c r="F30" s="139"/>
      <c r="G30" s="140"/>
      <c r="H30" s="134"/>
      <c r="I30" s="134"/>
      <c r="J30" s="134"/>
      <c r="K30" s="132"/>
      <c r="L30" s="132"/>
      <c r="M30" s="134"/>
      <c r="N30" s="134"/>
      <c r="O30" s="134"/>
      <c r="P30" s="134"/>
      <c r="Q30" s="139"/>
      <c r="R30" s="141"/>
      <c r="S30" s="134"/>
    </row>
    <row r="31" spans="2:20">
      <c r="E31" s="130"/>
      <c r="F31" s="130"/>
      <c r="H31" s="131"/>
      <c r="I31" s="131"/>
      <c r="J31" s="132"/>
      <c r="K31" s="132"/>
      <c r="L31" s="132"/>
    </row>
    <row r="32" spans="2:20">
      <c r="F32" s="31"/>
      <c r="M32" s="134"/>
      <c r="N32" s="134"/>
    </row>
    <row r="33" spans="2:19">
      <c r="L33" s="134"/>
      <c r="N33" s="135"/>
      <c r="O33" s="135"/>
      <c r="P33" s="135"/>
    </row>
    <row r="34" spans="2:19">
      <c r="N34" s="135"/>
      <c r="O34" s="135"/>
      <c r="P34" s="135"/>
    </row>
    <row r="35" spans="2:19">
      <c r="B35" s="40"/>
      <c r="N35" s="135"/>
      <c r="O35" s="135"/>
      <c r="P35" s="135"/>
    </row>
    <row r="36" spans="2:19">
      <c r="B36" s="40"/>
    </row>
    <row r="37" spans="2:19">
      <c r="B37" s="40"/>
    </row>
    <row r="38" spans="2:19">
      <c r="H38" s="131"/>
      <c r="I38" s="131"/>
      <c r="J38" s="131"/>
      <c r="K38" s="131"/>
      <c r="L38" s="131"/>
    </row>
    <row r="39" spans="2:19">
      <c r="H39" s="131"/>
      <c r="I39" s="131"/>
      <c r="J39" s="131"/>
      <c r="K39" s="131"/>
      <c r="L39" s="131"/>
    </row>
    <row r="40" spans="2:19">
      <c r="C40" s="134"/>
      <c r="D40" s="134"/>
      <c r="E40" s="134"/>
      <c r="F40" s="134"/>
      <c r="G40" s="140"/>
      <c r="H40" s="134"/>
      <c r="I40" s="134"/>
      <c r="J40" s="134"/>
      <c r="K40" s="134"/>
      <c r="L40" s="134"/>
      <c r="M40" s="134"/>
      <c r="N40" s="134"/>
      <c r="O40" s="134"/>
      <c r="R40" s="143"/>
      <c r="S40" s="134"/>
    </row>
    <row r="44" spans="2:19">
      <c r="O44" s="61"/>
    </row>
  </sheetData>
  <sortState xmlns:xlrd2="http://schemas.microsoft.com/office/spreadsheetml/2017/richdata2" ref="A3:T18">
    <sortCondition ref="H18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2"/>
  <sheetViews>
    <sheetView workbookViewId="0"/>
  </sheetViews>
  <sheetFormatPr defaultColWidth="11.42578125" defaultRowHeight="14.45"/>
  <cols>
    <col min="1" max="1" width="4.28515625" customWidth="1"/>
    <col min="3" max="3" width="17.7109375" bestFit="1" customWidth="1"/>
    <col min="4" max="4" width="18.5703125" bestFit="1" customWidth="1"/>
    <col min="5" max="5" width="13.140625" customWidth="1"/>
    <col min="6" max="6" width="13.42578125" style="1" bestFit="1" customWidth="1"/>
    <col min="7" max="7" width="20.42578125" bestFit="1" customWidth="1"/>
    <col min="8" max="8" width="15.28515625" customWidth="1"/>
    <col min="9" max="9" width="12.42578125" bestFit="1" customWidth="1"/>
    <col min="10" max="10" width="11" customWidth="1"/>
    <col min="11" max="11" width="10.140625" customWidth="1"/>
    <col min="12" max="12" width="21.42578125" bestFit="1" customWidth="1"/>
    <col min="14" max="15" width="20" customWidth="1"/>
    <col min="261" max="261" width="13.42578125" bestFit="1" customWidth="1"/>
    <col min="262" max="262" width="15" customWidth="1"/>
    <col min="263" max="263" width="15.28515625" customWidth="1"/>
    <col min="265" max="265" width="13.140625" customWidth="1"/>
    <col min="517" max="517" width="13.42578125" bestFit="1" customWidth="1"/>
    <col min="518" max="518" width="15" customWidth="1"/>
    <col min="519" max="519" width="15.28515625" customWidth="1"/>
    <col min="521" max="521" width="13.140625" customWidth="1"/>
    <col min="773" max="773" width="13.42578125" bestFit="1" customWidth="1"/>
    <col min="774" max="774" width="15" customWidth="1"/>
    <col min="775" max="775" width="15.28515625" customWidth="1"/>
    <col min="777" max="777" width="13.140625" customWidth="1"/>
    <col min="1029" max="1029" width="13.42578125" bestFit="1" customWidth="1"/>
    <col min="1030" max="1030" width="15" customWidth="1"/>
    <col min="1031" max="1031" width="15.28515625" customWidth="1"/>
    <col min="1033" max="1033" width="13.140625" customWidth="1"/>
    <col min="1285" max="1285" width="13.42578125" bestFit="1" customWidth="1"/>
    <col min="1286" max="1286" width="15" customWidth="1"/>
    <col min="1287" max="1287" width="15.28515625" customWidth="1"/>
    <col min="1289" max="1289" width="13.140625" customWidth="1"/>
    <col min="1541" max="1541" width="13.42578125" bestFit="1" customWidth="1"/>
    <col min="1542" max="1542" width="15" customWidth="1"/>
    <col min="1543" max="1543" width="15.28515625" customWidth="1"/>
    <col min="1545" max="1545" width="13.140625" customWidth="1"/>
    <col min="1797" max="1797" width="13.42578125" bestFit="1" customWidth="1"/>
    <col min="1798" max="1798" width="15" customWidth="1"/>
    <col min="1799" max="1799" width="15.28515625" customWidth="1"/>
    <col min="1801" max="1801" width="13.140625" customWidth="1"/>
    <col min="2053" max="2053" width="13.42578125" bestFit="1" customWidth="1"/>
    <col min="2054" max="2054" width="15" customWidth="1"/>
    <col min="2055" max="2055" width="15.28515625" customWidth="1"/>
    <col min="2057" max="2057" width="13.140625" customWidth="1"/>
    <col min="2309" max="2309" width="13.42578125" bestFit="1" customWidth="1"/>
    <col min="2310" max="2310" width="15" customWidth="1"/>
    <col min="2311" max="2311" width="15.28515625" customWidth="1"/>
    <col min="2313" max="2313" width="13.140625" customWidth="1"/>
    <col min="2565" max="2565" width="13.42578125" bestFit="1" customWidth="1"/>
    <col min="2566" max="2566" width="15" customWidth="1"/>
    <col min="2567" max="2567" width="15.28515625" customWidth="1"/>
    <col min="2569" max="2569" width="13.140625" customWidth="1"/>
    <col min="2821" max="2821" width="13.42578125" bestFit="1" customWidth="1"/>
    <col min="2822" max="2822" width="15" customWidth="1"/>
    <col min="2823" max="2823" width="15.28515625" customWidth="1"/>
    <col min="2825" max="2825" width="13.140625" customWidth="1"/>
    <col min="3077" max="3077" width="13.42578125" bestFit="1" customWidth="1"/>
    <col min="3078" max="3078" width="15" customWidth="1"/>
    <col min="3079" max="3079" width="15.28515625" customWidth="1"/>
    <col min="3081" max="3081" width="13.140625" customWidth="1"/>
    <col min="3333" max="3333" width="13.42578125" bestFit="1" customWidth="1"/>
    <col min="3334" max="3334" width="15" customWidth="1"/>
    <col min="3335" max="3335" width="15.28515625" customWidth="1"/>
    <col min="3337" max="3337" width="13.140625" customWidth="1"/>
    <col min="3589" max="3589" width="13.42578125" bestFit="1" customWidth="1"/>
    <col min="3590" max="3590" width="15" customWidth="1"/>
    <col min="3591" max="3591" width="15.28515625" customWidth="1"/>
    <col min="3593" max="3593" width="13.140625" customWidth="1"/>
    <col min="3845" max="3845" width="13.42578125" bestFit="1" customWidth="1"/>
    <col min="3846" max="3846" width="15" customWidth="1"/>
    <col min="3847" max="3847" width="15.28515625" customWidth="1"/>
    <col min="3849" max="3849" width="13.140625" customWidth="1"/>
    <col min="4101" max="4101" width="13.42578125" bestFit="1" customWidth="1"/>
    <col min="4102" max="4102" width="15" customWidth="1"/>
    <col min="4103" max="4103" width="15.28515625" customWidth="1"/>
    <col min="4105" max="4105" width="13.140625" customWidth="1"/>
    <col min="4357" max="4357" width="13.42578125" bestFit="1" customWidth="1"/>
    <col min="4358" max="4358" width="15" customWidth="1"/>
    <col min="4359" max="4359" width="15.28515625" customWidth="1"/>
    <col min="4361" max="4361" width="13.140625" customWidth="1"/>
    <col min="4613" max="4613" width="13.42578125" bestFit="1" customWidth="1"/>
    <col min="4614" max="4614" width="15" customWidth="1"/>
    <col min="4615" max="4615" width="15.28515625" customWidth="1"/>
    <col min="4617" max="4617" width="13.140625" customWidth="1"/>
    <col min="4869" max="4869" width="13.42578125" bestFit="1" customWidth="1"/>
    <col min="4870" max="4870" width="15" customWidth="1"/>
    <col min="4871" max="4871" width="15.28515625" customWidth="1"/>
    <col min="4873" max="4873" width="13.140625" customWidth="1"/>
    <col min="5125" max="5125" width="13.42578125" bestFit="1" customWidth="1"/>
    <col min="5126" max="5126" width="15" customWidth="1"/>
    <col min="5127" max="5127" width="15.28515625" customWidth="1"/>
    <col min="5129" max="5129" width="13.140625" customWidth="1"/>
    <col min="5381" max="5381" width="13.42578125" bestFit="1" customWidth="1"/>
    <col min="5382" max="5382" width="15" customWidth="1"/>
    <col min="5383" max="5383" width="15.28515625" customWidth="1"/>
    <col min="5385" max="5385" width="13.140625" customWidth="1"/>
    <col min="5637" max="5637" width="13.42578125" bestFit="1" customWidth="1"/>
    <col min="5638" max="5638" width="15" customWidth="1"/>
    <col min="5639" max="5639" width="15.28515625" customWidth="1"/>
    <col min="5641" max="5641" width="13.140625" customWidth="1"/>
    <col min="5893" max="5893" width="13.42578125" bestFit="1" customWidth="1"/>
    <col min="5894" max="5894" width="15" customWidth="1"/>
    <col min="5895" max="5895" width="15.28515625" customWidth="1"/>
    <col min="5897" max="5897" width="13.140625" customWidth="1"/>
    <col min="6149" max="6149" width="13.42578125" bestFit="1" customWidth="1"/>
    <col min="6150" max="6150" width="15" customWidth="1"/>
    <col min="6151" max="6151" width="15.28515625" customWidth="1"/>
    <col min="6153" max="6153" width="13.140625" customWidth="1"/>
    <col min="6405" max="6405" width="13.42578125" bestFit="1" customWidth="1"/>
    <col min="6406" max="6406" width="15" customWidth="1"/>
    <col min="6407" max="6407" width="15.28515625" customWidth="1"/>
    <col min="6409" max="6409" width="13.140625" customWidth="1"/>
    <col min="6661" max="6661" width="13.42578125" bestFit="1" customWidth="1"/>
    <col min="6662" max="6662" width="15" customWidth="1"/>
    <col min="6663" max="6663" width="15.28515625" customWidth="1"/>
    <col min="6665" max="6665" width="13.140625" customWidth="1"/>
    <col min="6917" max="6917" width="13.42578125" bestFit="1" customWidth="1"/>
    <col min="6918" max="6918" width="15" customWidth="1"/>
    <col min="6919" max="6919" width="15.28515625" customWidth="1"/>
    <col min="6921" max="6921" width="13.140625" customWidth="1"/>
    <col min="7173" max="7173" width="13.42578125" bestFit="1" customWidth="1"/>
    <col min="7174" max="7174" width="15" customWidth="1"/>
    <col min="7175" max="7175" width="15.28515625" customWidth="1"/>
    <col min="7177" max="7177" width="13.140625" customWidth="1"/>
    <col min="7429" max="7429" width="13.42578125" bestFit="1" customWidth="1"/>
    <col min="7430" max="7430" width="15" customWidth="1"/>
    <col min="7431" max="7431" width="15.28515625" customWidth="1"/>
    <col min="7433" max="7433" width="13.140625" customWidth="1"/>
    <col min="7685" max="7685" width="13.42578125" bestFit="1" customWidth="1"/>
    <col min="7686" max="7686" width="15" customWidth="1"/>
    <col min="7687" max="7687" width="15.28515625" customWidth="1"/>
    <col min="7689" max="7689" width="13.140625" customWidth="1"/>
    <col min="7941" max="7941" width="13.42578125" bestFit="1" customWidth="1"/>
    <col min="7942" max="7942" width="15" customWidth="1"/>
    <col min="7943" max="7943" width="15.28515625" customWidth="1"/>
    <col min="7945" max="7945" width="13.140625" customWidth="1"/>
    <col min="8197" max="8197" width="13.42578125" bestFit="1" customWidth="1"/>
    <col min="8198" max="8198" width="15" customWidth="1"/>
    <col min="8199" max="8199" width="15.28515625" customWidth="1"/>
    <col min="8201" max="8201" width="13.140625" customWidth="1"/>
    <col min="8453" max="8453" width="13.42578125" bestFit="1" customWidth="1"/>
    <col min="8454" max="8454" width="15" customWidth="1"/>
    <col min="8455" max="8455" width="15.28515625" customWidth="1"/>
    <col min="8457" max="8457" width="13.140625" customWidth="1"/>
    <col min="8709" max="8709" width="13.42578125" bestFit="1" customWidth="1"/>
    <col min="8710" max="8710" width="15" customWidth="1"/>
    <col min="8711" max="8711" width="15.28515625" customWidth="1"/>
    <col min="8713" max="8713" width="13.140625" customWidth="1"/>
    <col min="8965" max="8965" width="13.42578125" bestFit="1" customWidth="1"/>
    <col min="8966" max="8966" width="15" customWidth="1"/>
    <col min="8967" max="8967" width="15.28515625" customWidth="1"/>
    <col min="8969" max="8969" width="13.140625" customWidth="1"/>
    <col min="9221" max="9221" width="13.42578125" bestFit="1" customWidth="1"/>
    <col min="9222" max="9222" width="15" customWidth="1"/>
    <col min="9223" max="9223" width="15.28515625" customWidth="1"/>
    <col min="9225" max="9225" width="13.140625" customWidth="1"/>
    <col min="9477" max="9477" width="13.42578125" bestFit="1" customWidth="1"/>
    <col min="9478" max="9478" width="15" customWidth="1"/>
    <col min="9479" max="9479" width="15.28515625" customWidth="1"/>
    <col min="9481" max="9481" width="13.140625" customWidth="1"/>
    <col min="9733" max="9733" width="13.42578125" bestFit="1" customWidth="1"/>
    <col min="9734" max="9734" width="15" customWidth="1"/>
    <col min="9735" max="9735" width="15.28515625" customWidth="1"/>
    <col min="9737" max="9737" width="13.140625" customWidth="1"/>
    <col min="9989" max="9989" width="13.42578125" bestFit="1" customWidth="1"/>
    <col min="9990" max="9990" width="15" customWidth="1"/>
    <col min="9991" max="9991" width="15.28515625" customWidth="1"/>
    <col min="9993" max="9993" width="13.140625" customWidth="1"/>
    <col min="10245" max="10245" width="13.42578125" bestFit="1" customWidth="1"/>
    <col min="10246" max="10246" width="15" customWidth="1"/>
    <col min="10247" max="10247" width="15.28515625" customWidth="1"/>
    <col min="10249" max="10249" width="13.140625" customWidth="1"/>
    <col min="10501" max="10501" width="13.42578125" bestFit="1" customWidth="1"/>
    <col min="10502" max="10502" width="15" customWidth="1"/>
    <col min="10503" max="10503" width="15.28515625" customWidth="1"/>
    <col min="10505" max="10505" width="13.140625" customWidth="1"/>
    <col min="10757" max="10757" width="13.42578125" bestFit="1" customWidth="1"/>
    <col min="10758" max="10758" width="15" customWidth="1"/>
    <col min="10759" max="10759" width="15.28515625" customWidth="1"/>
    <col min="10761" max="10761" width="13.140625" customWidth="1"/>
    <col min="11013" max="11013" width="13.42578125" bestFit="1" customWidth="1"/>
    <col min="11014" max="11014" width="15" customWidth="1"/>
    <col min="11015" max="11015" width="15.28515625" customWidth="1"/>
    <col min="11017" max="11017" width="13.140625" customWidth="1"/>
    <col min="11269" max="11269" width="13.42578125" bestFit="1" customWidth="1"/>
    <col min="11270" max="11270" width="15" customWidth="1"/>
    <col min="11271" max="11271" width="15.28515625" customWidth="1"/>
    <col min="11273" max="11273" width="13.140625" customWidth="1"/>
    <col min="11525" max="11525" width="13.42578125" bestFit="1" customWidth="1"/>
    <col min="11526" max="11526" width="15" customWidth="1"/>
    <col min="11527" max="11527" width="15.28515625" customWidth="1"/>
    <col min="11529" max="11529" width="13.140625" customWidth="1"/>
    <col min="11781" max="11781" width="13.42578125" bestFit="1" customWidth="1"/>
    <col min="11782" max="11782" width="15" customWidth="1"/>
    <col min="11783" max="11783" width="15.28515625" customWidth="1"/>
    <col min="11785" max="11785" width="13.140625" customWidth="1"/>
    <col min="12037" max="12037" width="13.42578125" bestFit="1" customWidth="1"/>
    <col min="12038" max="12038" width="15" customWidth="1"/>
    <col min="12039" max="12039" width="15.28515625" customWidth="1"/>
    <col min="12041" max="12041" width="13.140625" customWidth="1"/>
    <col min="12293" max="12293" width="13.42578125" bestFit="1" customWidth="1"/>
    <col min="12294" max="12294" width="15" customWidth="1"/>
    <col min="12295" max="12295" width="15.28515625" customWidth="1"/>
    <col min="12297" max="12297" width="13.140625" customWidth="1"/>
    <col min="12549" max="12549" width="13.42578125" bestFit="1" customWidth="1"/>
    <col min="12550" max="12550" width="15" customWidth="1"/>
    <col min="12551" max="12551" width="15.28515625" customWidth="1"/>
    <col min="12553" max="12553" width="13.140625" customWidth="1"/>
    <col min="12805" max="12805" width="13.42578125" bestFit="1" customWidth="1"/>
    <col min="12806" max="12806" width="15" customWidth="1"/>
    <col min="12807" max="12807" width="15.28515625" customWidth="1"/>
    <col min="12809" max="12809" width="13.140625" customWidth="1"/>
    <col min="13061" max="13061" width="13.42578125" bestFit="1" customWidth="1"/>
    <col min="13062" max="13062" width="15" customWidth="1"/>
    <col min="13063" max="13063" width="15.28515625" customWidth="1"/>
    <col min="13065" max="13065" width="13.140625" customWidth="1"/>
    <col min="13317" max="13317" width="13.42578125" bestFit="1" customWidth="1"/>
    <col min="13318" max="13318" width="15" customWidth="1"/>
    <col min="13319" max="13319" width="15.28515625" customWidth="1"/>
    <col min="13321" max="13321" width="13.140625" customWidth="1"/>
    <col min="13573" max="13573" width="13.42578125" bestFit="1" customWidth="1"/>
    <col min="13574" max="13574" width="15" customWidth="1"/>
    <col min="13575" max="13575" width="15.28515625" customWidth="1"/>
    <col min="13577" max="13577" width="13.140625" customWidth="1"/>
    <col min="13829" max="13829" width="13.42578125" bestFit="1" customWidth="1"/>
    <col min="13830" max="13830" width="15" customWidth="1"/>
    <col min="13831" max="13831" width="15.28515625" customWidth="1"/>
    <col min="13833" max="13833" width="13.140625" customWidth="1"/>
    <col min="14085" max="14085" width="13.42578125" bestFit="1" customWidth="1"/>
    <col min="14086" max="14086" width="15" customWidth="1"/>
    <col min="14087" max="14087" width="15.28515625" customWidth="1"/>
    <col min="14089" max="14089" width="13.140625" customWidth="1"/>
    <col min="14341" max="14341" width="13.42578125" bestFit="1" customWidth="1"/>
    <col min="14342" max="14342" width="15" customWidth="1"/>
    <col min="14343" max="14343" width="15.28515625" customWidth="1"/>
    <col min="14345" max="14345" width="13.140625" customWidth="1"/>
    <col min="14597" max="14597" width="13.42578125" bestFit="1" customWidth="1"/>
    <col min="14598" max="14598" width="15" customWidth="1"/>
    <col min="14599" max="14599" width="15.28515625" customWidth="1"/>
    <col min="14601" max="14601" width="13.140625" customWidth="1"/>
    <col min="14853" max="14853" width="13.42578125" bestFit="1" customWidth="1"/>
    <col min="14854" max="14854" width="15" customWidth="1"/>
    <col min="14855" max="14855" width="15.28515625" customWidth="1"/>
    <col min="14857" max="14857" width="13.140625" customWidth="1"/>
    <col min="15109" max="15109" width="13.42578125" bestFit="1" customWidth="1"/>
    <col min="15110" max="15110" width="15" customWidth="1"/>
    <col min="15111" max="15111" width="15.28515625" customWidth="1"/>
    <col min="15113" max="15113" width="13.140625" customWidth="1"/>
    <col min="15365" max="15365" width="13.42578125" bestFit="1" customWidth="1"/>
    <col min="15366" max="15366" width="15" customWidth="1"/>
    <col min="15367" max="15367" width="15.28515625" customWidth="1"/>
    <col min="15369" max="15369" width="13.140625" customWidth="1"/>
    <col min="15621" max="15621" width="13.42578125" bestFit="1" customWidth="1"/>
    <col min="15622" max="15622" width="15" customWidth="1"/>
    <col min="15623" max="15623" width="15.28515625" customWidth="1"/>
    <col min="15625" max="15625" width="13.140625" customWidth="1"/>
    <col min="15877" max="15877" width="13.42578125" bestFit="1" customWidth="1"/>
    <col min="15878" max="15878" width="15" customWidth="1"/>
    <col min="15879" max="15879" width="15.28515625" customWidth="1"/>
    <col min="15881" max="15881" width="13.140625" customWidth="1"/>
    <col min="16133" max="16133" width="13.42578125" bestFit="1" customWidth="1"/>
    <col min="16134" max="16134" width="15" customWidth="1"/>
    <col min="16135" max="16135" width="15.28515625" customWidth="1"/>
    <col min="16137" max="16137" width="13.140625" customWidth="1"/>
  </cols>
  <sheetData>
    <row r="1" spans="2:14">
      <c r="I1" s="21" t="s">
        <v>135</v>
      </c>
      <c r="N1" s="40" t="s">
        <v>136</v>
      </c>
    </row>
    <row r="2" spans="2:14">
      <c r="B2" s="31" t="s">
        <v>137</v>
      </c>
      <c r="I2" s="22" t="s">
        <v>138</v>
      </c>
    </row>
    <row r="3" spans="2:14">
      <c r="I3" s="22" t="s">
        <v>139</v>
      </c>
    </row>
    <row r="4" spans="2:14">
      <c r="I4" s="22" t="s">
        <v>140</v>
      </c>
    </row>
    <row r="5" spans="2:14" s="2" customFormat="1" ht="43.15">
      <c r="B5" s="24" t="s">
        <v>141</v>
      </c>
      <c r="C5" s="24" t="s">
        <v>142</v>
      </c>
      <c r="D5" s="24" t="s">
        <v>143</v>
      </c>
      <c r="E5" s="24" t="s">
        <v>144</v>
      </c>
      <c r="F5" s="24" t="s">
        <v>145</v>
      </c>
      <c r="G5" s="24" t="s">
        <v>146</v>
      </c>
      <c r="H5" s="24" t="s">
        <v>147</v>
      </c>
      <c r="I5" s="100" t="s">
        <v>148</v>
      </c>
      <c r="J5" s="145" t="s">
        <v>149</v>
      </c>
      <c r="K5" s="146" t="s">
        <v>150</v>
      </c>
      <c r="L5" s="2" t="s">
        <v>151</v>
      </c>
      <c r="M5" s="2" t="s">
        <v>152</v>
      </c>
      <c r="N5" s="2" t="s">
        <v>153</v>
      </c>
    </row>
    <row r="6" spans="2:14">
      <c r="B6" s="144">
        <v>1</v>
      </c>
      <c r="C6" s="3"/>
      <c r="D6" s="9"/>
      <c r="E6" s="37"/>
      <c r="F6" s="37"/>
      <c r="G6" s="4"/>
      <c r="H6" s="4"/>
      <c r="I6" s="4"/>
      <c r="J6" s="61">
        <f>D6*2*$I$14</f>
        <v>0</v>
      </c>
      <c r="L6" s="61">
        <f>J6*K6/100</f>
        <v>0</v>
      </c>
      <c r="N6" s="61">
        <f>L6*M6</f>
        <v>0</v>
      </c>
    </row>
    <row r="7" spans="2:14">
      <c r="B7" s="144">
        <v>2</v>
      </c>
      <c r="C7" s="5"/>
      <c r="D7" s="9"/>
      <c r="E7" s="37"/>
      <c r="F7" s="37"/>
      <c r="G7" s="4"/>
      <c r="H7" s="4"/>
      <c r="I7" s="4"/>
      <c r="J7" s="61">
        <f t="shared" ref="J7:J9" si="0">D7*2*$I$14</f>
        <v>0</v>
      </c>
      <c r="L7" s="61">
        <f t="shared" ref="L7:L9" si="1">J7*K7/100</f>
        <v>0</v>
      </c>
      <c r="N7" s="61">
        <f t="shared" ref="N7:N9" si="2">L7*M7</f>
        <v>0</v>
      </c>
    </row>
    <row r="8" spans="2:14">
      <c r="B8" s="144">
        <v>3</v>
      </c>
      <c r="C8" s="5"/>
      <c r="D8" s="9"/>
      <c r="E8" s="37"/>
      <c r="F8" s="37"/>
      <c r="G8" s="147"/>
      <c r="H8" s="211"/>
      <c r="I8" s="98"/>
      <c r="J8" s="61">
        <f t="shared" si="0"/>
        <v>0</v>
      </c>
      <c r="L8" s="61">
        <f t="shared" si="1"/>
        <v>0</v>
      </c>
      <c r="N8" s="61">
        <f t="shared" si="2"/>
        <v>0</v>
      </c>
    </row>
    <row r="9" spans="2:14">
      <c r="B9" s="144">
        <v>4</v>
      </c>
      <c r="C9" s="5"/>
      <c r="D9" s="9"/>
      <c r="E9" s="37"/>
      <c r="F9" s="37"/>
      <c r="G9" s="4"/>
      <c r="H9" s="4"/>
      <c r="I9" s="4"/>
      <c r="J9" s="61">
        <f t="shared" si="0"/>
        <v>0</v>
      </c>
      <c r="L9" s="61">
        <f t="shared" si="1"/>
        <v>0</v>
      </c>
      <c r="N9" s="61">
        <f t="shared" si="2"/>
        <v>0</v>
      </c>
    </row>
    <row r="10" spans="2:14">
      <c r="B10" s="144">
        <v>5</v>
      </c>
      <c r="C10" s="5"/>
      <c r="D10" s="9"/>
      <c r="E10" s="37"/>
      <c r="F10" s="37"/>
      <c r="G10" s="4"/>
      <c r="H10" s="4"/>
      <c r="I10" s="4"/>
      <c r="J10" s="61">
        <f t="shared" ref="J10:J30" si="3">D10*2*$I$14</f>
        <v>0</v>
      </c>
      <c r="L10" s="61">
        <f t="shared" ref="L10:L30" si="4">J10*K10/100</f>
        <v>0</v>
      </c>
      <c r="N10" s="61">
        <f t="shared" ref="N10:N30" si="5">L10*M10</f>
        <v>0</v>
      </c>
    </row>
    <row r="11" spans="2:14">
      <c r="B11" s="37">
        <v>6</v>
      </c>
      <c r="C11" s="3"/>
      <c r="D11" s="9"/>
      <c r="E11" s="37"/>
      <c r="F11" s="37"/>
      <c r="G11" s="4"/>
      <c r="H11" s="4"/>
      <c r="I11" s="4"/>
      <c r="J11" s="61">
        <f t="shared" si="3"/>
        <v>0</v>
      </c>
      <c r="L11" s="61">
        <f t="shared" si="4"/>
        <v>0</v>
      </c>
      <c r="N11" s="61">
        <f t="shared" si="5"/>
        <v>0</v>
      </c>
    </row>
    <row r="12" spans="2:14">
      <c r="B12" s="37">
        <v>7</v>
      </c>
      <c r="C12" s="3"/>
      <c r="D12" s="9"/>
      <c r="E12" s="37"/>
      <c r="F12" s="37"/>
      <c r="G12" s="4"/>
      <c r="H12" s="4"/>
      <c r="I12" s="4"/>
      <c r="J12" s="61">
        <f t="shared" si="3"/>
        <v>0</v>
      </c>
      <c r="L12" s="61">
        <f t="shared" si="4"/>
        <v>0</v>
      </c>
      <c r="N12" s="61">
        <f t="shared" si="5"/>
        <v>0</v>
      </c>
    </row>
    <row r="13" spans="2:14">
      <c r="B13" s="37">
        <v>8</v>
      </c>
      <c r="C13" s="3"/>
      <c r="D13" s="9"/>
      <c r="E13" s="37"/>
      <c r="F13" s="37"/>
      <c r="G13" s="4"/>
      <c r="H13" s="4"/>
      <c r="I13" s="4"/>
      <c r="J13" s="61">
        <f t="shared" si="3"/>
        <v>0</v>
      </c>
      <c r="L13" s="61">
        <f t="shared" si="4"/>
        <v>0</v>
      </c>
      <c r="N13" s="61">
        <f t="shared" si="5"/>
        <v>0</v>
      </c>
    </row>
    <row r="14" spans="2:14">
      <c r="B14" s="37">
        <v>9</v>
      </c>
      <c r="C14" s="5"/>
      <c r="D14" s="9"/>
      <c r="E14" s="37"/>
      <c r="F14" s="37"/>
      <c r="G14" s="4"/>
      <c r="H14" s="4"/>
      <c r="I14" s="4"/>
      <c r="J14" s="61">
        <f t="shared" si="3"/>
        <v>0</v>
      </c>
      <c r="L14" s="61">
        <f t="shared" si="4"/>
        <v>0</v>
      </c>
      <c r="N14" s="61">
        <f t="shared" si="5"/>
        <v>0</v>
      </c>
    </row>
    <row r="15" spans="2:14">
      <c r="B15" s="37">
        <v>10</v>
      </c>
      <c r="C15" s="3"/>
      <c r="D15" s="9"/>
      <c r="E15" s="37"/>
      <c r="F15" s="37"/>
      <c r="G15" s="4"/>
      <c r="H15" s="4"/>
      <c r="I15" s="4"/>
      <c r="J15" s="61">
        <f t="shared" si="3"/>
        <v>0</v>
      </c>
      <c r="L15" s="61">
        <f t="shared" si="4"/>
        <v>0</v>
      </c>
      <c r="N15" s="61">
        <f t="shared" si="5"/>
        <v>0</v>
      </c>
    </row>
    <row r="16" spans="2:14">
      <c r="B16" s="37">
        <v>11</v>
      </c>
      <c r="C16" s="5"/>
      <c r="D16" s="9"/>
      <c r="E16" s="37"/>
      <c r="F16" s="37"/>
      <c r="G16" s="4"/>
      <c r="H16" s="4"/>
      <c r="I16" s="4"/>
      <c r="J16" s="61">
        <f t="shared" si="3"/>
        <v>0</v>
      </c>
      <c r="L16" s="61">
        <f t="shared" si="4"/>
        <v>0</v>
      </c>
      <c r="N16" s="61">
        <f t="shared" si="5"/>
        <v>0</v>
      </c>
    </row>
    <row r="17" spans="2:14">
      <c r="B17" s="37">
        <v>12</v>
      </c>
      <c r="C17" s="5"/>
      <c r="D17" s="9"/>
      <c r="E17" s="37"/>
      <c r="F17" s="37"/>
      <c r="G17" s="4"/>
      <c r="H17" s="4"/>
      <c r="I17" s="4"/>
      <c r="J17" s="61">
        <f t="shared" si="3"/>
        <v>0</v>
      </c>
      <c r="L17" s="61">
        <f t="shared" si="4"/>
        <v>0</v>
      </c>
      <c r="N17" s="61">
        <f t="shared" si="5"/>
        <v>0</v>
      </c>
    </row>
    <row r="18" spans="2:14">
      <c r="B18" s="37">
        <v>13</v>
      </c>
      <c r="C18" s="3"/>
      <c r="D18" s="9"/>
      <c r="E18" s="37"/>
      <c r="F18" s="37"/>
      <c r="G18" s="4"/>
      <c r="H18" s="4"/>
      <c r="I18" s="4"/>
      <c r="J18" s="61">
        <f t="shared" si="3"/>
        <v>0</v>
      </c>
      <c r="L18" s="61">
        <f t="shared" si="4"/>
        <v>0</v>
      </c>
      <c r="N18" s="61">
        <f t="shared" si="5"/>
        <v>0</v>
      </c>
    </row>
    <row r="19" spans="2:14">
      <c r="B19" s="37">
        <v>14</v>
      </c>
      <c r="C19" s="3"/>
      <c r="D19" s="9"/>
      <c r="E19" s="37"/>
      <c r="F19" s="37"/>
      <c r="G19" s="4"/>
      <c r="H19" s="4"/>
      <c r="I19" s="4"/>
      <c r="J19" s="61">
        <f t="shared" si="3"/>
        <v>0</v>
      </c>
      <c r="L19" s="61">
        <f t="shared" si="4"/>
        <v>0</v>
      </c>
      <c r="N19" s="61">
        <f t="shared" si="5"/>
        <v>0</v>
      </c>
    </row>
    <row r="20" spans="2:14">
      <c r="B20" s="37">
        <v>15</v>
      </c>
      <c r="C20" s="3"/>
      <c r="D20" s="9"/>
      <c r="E20" s="37"/>
      <c r="F20" s="37"/>
      <c r="G20" s="4"/>
      <c r="H20" s="4"/>
      <c r="I20" s="4"/>
      <c r="J20" s="61">
        <f t="shared" si="3"/>
        <v>0</v>
      </c>
      <c r="L20" s="61">
        <f t="shared" si="4"/>
        <v>0</v>
      </c>
      <c r="N20" s="61">
        <f t="shared" si="5"/>
        <v>0</v>
      </c>
    </row>
    <row r="21" spans="2:14">
      <c r="B21" s="37">
        <v>16</v>
      </c>
      <c r="C21" s="3"/>
      <c r="D21" s="9"/>
      <c r="E21" s="37"/>
      <c r="F21" s="37"/>
      <c r="G21" s="4"/>
      <c r="H21" s="4"/>
      <c r="I21" s="4"/>
      <c r="J21" s="61">
        <f t="shared" si="3"/>
        <v>0</v>
      </c>
      <c r="L21" s="61">
        <f t="shared" si="4"/>
        <v>0</v>
      </c>
      <c r="N21" s="61">
        <f t="shared" si="5"/>
        <v>0</v>
      </c>
    </row>
    <row r="22" spans="2:14">
      <c r="B22" s="37">
        <v>17</v>
      </c>
      <c r="C22" s="45"/>
      <c r="D22" s="46"/>
      <c r="E22" s="44"/>
      <c r="F22" s="44"/>
      <c r="G22" s="47"/>
      <c r="H22" s="47"/>
      <c r="I22" s="99"/>
      <c r="J22" s="61">
        <f t="shared" si="3"/>
        <v>0</v>
      </c>
      <c r="L22" s="61">
        <f t="shared" si="4"/>
        <v>0</v>
      </c>
      <c r="N22" s="61">
        <f t="shared" si="5"/>
        <v>0</v>
      </c>
    </row>
    <row r="23" spans="2:14">
      <c r="B23" s="37">
        <v>18</v>
      </c>
      <c r="C23" s="45"/>
      <c r="D23" s="46"/>
      <c r="E23" s="44"/>
      <c r="F23" s="44"/>
      <c r="G23" s="47"/>
      <c r="H23" s="47"/>
      <c r="I23" s="99"/>
      <c r="J23" s="61">
        <f t="shared" si="3"/>
        <v>0</v>
      </c>
      <c r="L23" s="61">
        <f t="shared" si="4"/>
        <v>0</v>
      </c>
      <c r="N23" s="61">
        <f t="shared" si="5"/>
        <v>0</v>
      </c>
    </row>
    <row r="24" spans="2:14">
      <c r="B24" s="37">
        <v>19</v>
      </c>
      <c r="C24" s="45"/>
      <c r="D24" s="46"/>
      <c r="E24" s="44"/>
      <c r="F24" s="44"/>
      <c r="G24" s="47"/>
      <c r="H24" s="47"/>
      <c r="I24" s="99"/>
      <c r="J24" s="61">
        <f t="shared" si="3"/>
        <v>0</v>
      </c>
      <c r="L24" s="61">
        <f t="shared" si="4"/>
        <v>0</v>
      </c>
      <c r="N24" s="61">
        <f t="shared" si="5"/>
        <v>0</v>
      </c>
    </row>
    <row r="25" spans="2:14">
      <c r="B25" s="37">
        <v>20</v>
      </c>
      <c r="C25" s="45"/>
      <c r="D25" s="46"/>
      <c r="E25" s="44"/>
      <c r="F25" s="44"/>
      <c r="G25" s="47"/>
      <c r="H25" s="47"/>
      <c r="I25" s="99"/>
      <c r="J25" s="61">
        <f t="shared" si="3"/>
        <v>0</v>
      </c>
      <c r="L25" s="61">
        <f t="shared" si="4"/>
        <v>0</v>
      </c>
      <c r="N25" s="61">
        <f t="shared" si="5"/>
        <v>0</v>
      </c>
    </row>
    <row r="26" spans="2:14">
      <c r="B26" s="37">
        <v>21</v>
      </c>
      <c r="C26" s="45"/>
      <c r="D26" s="46"/>
      <c r="E26" s="44"/>
      <c r="F26" s="44"/>
      <c r="G26" s="47"/>
      <c r="H26" s="47"/>
      <c r="I26" s="99"/>
      <c r="J26" s="61">
        <f t="shared" si="3"/>
        <v>0</v>
      </c>
      <c r="L26" s="61">
        <f t="shared" si="4"/>
        <v>0</v>
      </c>
      <c r="N26" s="61">
        <f t="shared" si="5"/>
        <v>0</v>
      </c>
    </row>
    <row r="27" spans="2:14">
      <c r="B27" s="37">
        <v>22</v>
      </c>
      <c r="C27" s="45"/>
      <c r="D27" s="46"/>
      <c r="E27" s="44"/>
      <c r="F27" s="44"/>
      <c r="G27" s="47"/>
      <c r="H27" s="47"/>
      <c r="I27" s="99"/>
      <c r="J27" s="61">
        <f t="shared" si="3"/>
        <v>0</v>
      </c>
      <c r="L27" s="61">
        <f t="shared" si="4"/>
        <v>0</v>
      </c>
      <c r="N27" s="61">
        <f t="shared" si="5"/>
        <v>0</v>
      </c>
    </row>
    <row r="28" spans="2:14">
      <c r="B28" s="37">
        <v>23</v>
      </c>
      <c r="C28" s="45"/>
      <c r="D28" s="46"/>
      <c r="E28" s="44"/>
      <c r="F28" s="44"/>
      <c r="G28" s="47"/>
      <c r="H28" s="47"/>
      <c r="I28" s="99"/>
      <c r="J28" s="61">
        <f t="shared" si="3"/>
        <v>0</v>
      </c>
      <c r="L28" s="61">
        <f t="shared" si="4"/>
        <v>0</v>
      </c>
      <c r="N28" s="61">
        <f t="shared" si="5"/>
        <v>0</v>
      </c>
    </row>
    <row r="29" spans="2:14">
      <c r="B29" s="37">
        <v>24</v>
      </c>
      <c r="C29" s="45"/>
      <c r="D29" s="46"/>
      <c r="E29" s="44"/>
      <c r="F29" s="44"/>
      <c r="G29" s="47"/>
      <c r="H29" s="47"/>
      <c r="I29" s="99"/>
      <c r="J29" s="61">
        <f t="shared" si="3"/>
        <v>0</v>
      </c>
      <c r="L29" s="61">
        <f t="shared" si="4"/>
        <v>0</v>
      </c>
      <c r="N29" s="61">
        <f t="shared" si="5"/>
        <v>0</v>
      </c>
    </row>
    <row r="30" spans="2:14">
      <c r="B30" s="37">
        <v>25</v>
      </c>
      <c r="C30" s="45"/>
      <c r="D30" s="46"/>
      <c r="E30" s="44"/>
      <c r="F30" s="44"/>
      <c r="G30" s="47"/>
      <c r="H30" s="47"/>
      <c r="I30" s="99"/>
      <c r="J30" s="61">
        <f t="shared" si="3"/>
        <v>0</v>
      </c>
      <c r="L30" s="61">
        <f t="shared" si="4"/>
        <v>0</v>
      </c>
      <c r="N30" s="61">
        <f t="shared" si="5"/>
        <v>0</v>
      </c>
    </row>
    <row r="31" spans="2:14">
      <c r="I31" s="150" t="s">
        <v>154</v>
      </c>
      <c r="J31" s="148">
        <f>SUM(J6:J30)</f>
        <v>0</v>
      </c>
      <c r="K31" s="149"/>
      <c r="L31" s="148">
        <f>SUM(L6:L30)</f>
        <v>0</v>
      </c>
      <c r="M31" s="149"/>
      <c r="N31" s="148">
        <f>SUM(N6:N30)</f>
        <v>0</v>
      </c>
    </row>
    <row r="32" spans="2:14" ht="28.9">
      <c r="K32" s="151" t="s">
        <v>155</v>
      </c>
      <c r="L32" s="152">
        <f>L31</f>
        <v>0</v>
      </c>
    </row>
  </sheetData>
  <dataValidations count="1">
    <dataValidation type="list" allowBlank="1" showInputMessage="1" showErrorMessage="1" sqref="H6:H21" xr:uid="{A5519EF3-A783-4732-81EB-500D3E66A373}">
      <formula1>$I$2:$I$4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9510-4099-467A-85F5-9890EF21EFAD}">
  <dimension ref="C1:M19"/>
  <sheetViews>
    <sheetView workbookViewId="0"/>
  </sheetViews>
  <sheetFormatPr defaultColWidth="11.42578125" defaultRowHeight="14.45"/>
  <sheetData>
    <row r="1" spans="3:13">
      <c r="M1" s="63"/>
    </row>
    <row r="3" spans="3:13">
      <c r="C3" s="199" t="s">
        <v>156</v>
      </c>
      <c r="D3" s="199"/>
      <c r="H3" s="201" t="s">
        <v>157</v>
      </c>
      <c r="I3" s="201"/>
      <c r="L3" s="200"/>
      <c r="M3" s="200"/>
    </row>
    <row r="4" spans="3:13">
      <c r="C4" s="107" t="s">
        <v>158</v>
      </c>
      <c r="D4" s="107" t="s">
        <v>17</v>
      </c>
      <c r="H4" s="14" t="s">
        <v>158</v>
      </c>
      <c r="I4" s="14" t="s">
        <v>159</v>
      </c>
    </row>
    <row r="5" spans="3:13">
      <c r="C5" s="101" t="s">
        <v>160</v>
      </c>
      <c r="D5">
        <v>0</v>
      </c>
      <c r="H5" s="101" t="s">
        <v>160</v>
      </c>
      <c r="I5">
        <v>0</v>
      </c>
      <c r="L5" s="153"/>
    </row>
    <row r="6" spans="3:13">
      <c r="C6" s="101" t="s">
        <v>161</v>
      </c>
      <c r="D6">
        <v>0</v>
      </c>
      <c r="H6" s="101" t="s">
        <v>161</v>
      </c>
      <c r="I6">
        <v>0</v>
      </c>
      <c r="K6" s="63"/>
      <c r="L6" s="153"/>
    </row>
    <row r="7" spans="3:13">
      <c r="C7" s="101" t="s">
        <v>162</v>
      </c>
      <c r="D7">
        <v>0</v>
      </c>
      <c r="H7" s="101" t="s">
        <v>162</v>
      </c>
      <c r="I7">
        <v>0</v>
      </c>
      <c r="L7" s="153"/>
    </row>
    <row r="8" spans="3:13">
      <c r="C8" s="101" t="s">
        <v>163</v>
      </c>
      <c r="D8">
        <v>0</v>
      </c>
      <c r="H8" s="101" t="s">
        <v>163</v>
      </c>
      <c r="I8">
        <v>0</v>
      </c>
      <c r="L8" s="153"/>
    </row>
    <row r="9" spans="3:13">
      <c r="C9" s="101" t="s">
        <v>164</v>
      </c>
      <c r="D9">
        <v>0</v>
      </c>
      <c r="H9" s="101" t="s">
        <v>164</v>
      </c>
      <c r="I9">
        <v>0</v>
      </c>
      <c r="L9" s="101"/>
    </row>
    <row r="10" spans="3:13">
      <c r="C10" s="101" t="s">
        <v>165</v>
      </c>
      <c r="D10">
        <v>0</v>
      </c>
      <c r="H10" s="101" t="s">
        <v>165</v>
      </c>
      <c r="I10">
        <v>0</v>
      </c>
      <c r="L10" s="150"/>
    </row>
    <row r="11" spans="3:13">
      <c r="C11" s="101" t="s">
        <v>166</v>
      </c>
      <c r="D11">
        <v>0</v>
      </c>
      <c r="H11" s="101" t="s">
        <v>166</v>
      </c>
      <c r="I11">
        <v>0</v>
      </c>
    </row>
    <row r="12" spans="3:13" ht="14.45" customHeight="1">
      <c r="C12" s="101" t="s">
        <v>167</v>
      </c>
      <c r="D12">
        <v>0</v>
      </c>
      <c r="H12" s="101" t="s">
        <v>167</v>
      </c>
      <c r="I12">
        <v>0</v>
      </c>
    </row>
    <row r="13" spans="3:13">
      <c r="C13" s="101" t="s">
        <v>168</v>
      </c>
      <c r="D13">
        <v>0</v>
      </c>
      <c r="H13" s="101" t="s">
        <v>168</v>
      </c>
      <c r="I13">
        <v>0</v>
      </c>
    </row>
    <row r="14" spans="3:13">
      <c r="C14" s="101" t="s">
        <v>169</v>
      </c>
      <c r="D14">
        <v>0</v>
      </c>
      <c r="H14" s="101" t="s">
        <v>169</v>
      </c>
      <c r="I14">
        <v>0</v>
      </c>
    </row>
    <row r="15" spans="3:13">
      <c r="C15" s="101" t="s">
        <v>170</v>
      </c>
      <c r="D15">
        <v>0</v>
      </c>
      <c r="H15" s="101" t="s">
        <v>170</v>
      </c>
      <c r="I15">
        <v>0</v>
      </c>
    </row>
    <row r="16" spans="3:13">
      <c r="C16" s="101" t="s">
        <v>171</v>
      </c>
      <c r="D16">
        <v>0</v>
      </c>
      <c r="H16" s="101" t="s">
        <v>171</v>
      </c>
      <c r="I16">
        <v>0</v>
      </c>
    </row>
    <row r="17" spans="3:9">
      <c r="C17" s="107"/>
      <c r="D17" s="107">
        <f>SUM(D5:D16)</f>
        <v>0</v>
      </c>
      <c r="H17" s="14"/>
      <c r="I17" s="14">
        <f>SUM(I5:I16)</f>
        <v>0</v>
      </c>
    </row>
    <row r="18" spans="3:9">
      <c r="C18" s="150"/>
      <c r="H18" s="150"/>
    </row>
    <row r="19" spans="3:9">
      <c r="C19" s="131"/>
    </row>
  </sheetData>
  <mergeCells count="3">
    <mergeCell ref="C3:D3"/>
    <mergeCell ref="L3:M3"/>
    <mergeCell ref="H3:I3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A934-CF01-4491-B654-46BEC06CD1E4}">
  <dimension ref="A1:K17"/>
  <sheetViews>
    <sheetView workbookViewId="0">
      <selection sqref="A1:A2"/>
    </sheetView>
  </sheetViews>
  <sheetFormatPr defaultColWidth="11.42578125" defaultRowHeight="14.45"/>
  <cols>
    <col min="1" max="1" width="13.85546875" style="64" customWidth="1"/>
    <col min="2" max="2" width="36.28515625" style="64" customWidth="1"/>
    <col min="3" max="3" width="6.42578125" style="64" bestFit="1" customWidth="1"/>
    <col min="4" max="4" width="15.7109375" style="64" customWidth="1"/>
    <col min="5" max="5" width="11.85546875" style="64" customWidth="1"/>
    <col min="6" max="7" width="15.7109375" style="64" hidden="1" customWidth="1"/>
    <col min="8" max="9" width="12.5703125" style="64" customWidth="1"/>
    <col min="10" max="10" width="13.7109375" style="64" bestFit="1" customWidth="1"/>
    <col min="11" max="11" width="14.28515625" style="64" customWidth="1"/>
    <col min="12" max="12" width="21.7109375" style="64" customWidth="1"/>
    <col min="13" max="16384" width="11.42578125" style="64"/>
  </cols>
  <sheetData>
    <row r="1" spans="1:11" ht="39.950000000000003" customHeight="1" thickTop="1">
      <c r="A1" s="203" t="s">
        <v>172</v>
      </c>
      <c r="B1" s="208" t="s">
        <v>173</v>
      </c>
      <c r="C1" s="209"/>
      <c r="D1" s="205" t="s">
        <v>174</v>
      </c>
      <c r="E1" s="206"/>
      <c r="F1" s="205" t="s">
        <v>175</v>
      </c>
      <c r="G1" s="207"/>
      <c r="H1" s="202"/>
      <c r="I1" s="197"/>
      <c r="J1" s="197"/>
      <c r="K1" s="158" t="s">
        <v>176</v>
      </c>
    </row>
    <row r="2" spans="1:11" ht="45.75" customHeight="1">
      <c r="A2" s="204"/>
      <c r="B2" s="156" t="s">
        <v>91</v>
      </c>
      <c r="C2" s="157" t="s">
        <v>177</v>
      </c>
      <c r="D2" s="66" t="s">
        <v>178</v>
      </c>
      <c r="E2" s="65" t="s">
        <v>179</v>
      </c>
      <c r="F2" s="66" t="s">
        <v>178</v>
      </c>
      <c r="G2" s="73" t="s">
        <v>179</v>
      </c>
      <c r="H2" s="76" t="s">
        <v>180</v>
      </c>
      <c r="I2" s="76" t="s">
        <v>181</v>
      </c>
    </row>
    <row r="3" spans="1:11" ht="30" customHeight="1">
      <c r="A3" s="103"/>
      <c r="B3" s="76"/>
      <c r="C3" s="100"/>
      <c r="D3" s="103"/>
      <c r="E3" s="173"/>
      <c r="F3" s="67">
        <v>35</v>
      </c>
      <c r="G3" s="74">
        <f>35*1000</f>
        <v>35000</v>
      </c>
      <c r="H3" s="75">
        <f>J3+K3</f>
        <v>0</v>
      </c>
      <c r="I3" s="77"/>
    </row>
    <row r="4" spans="1:11">
      <c r="A4" s="175"/>
      <c r="B4" s="76"/>
      <c r="C4" s="103"/>
      <c r="D4" s="103"/>
      <c r="E4" s="103"/>
      <c r="F4" s="161">
        <v>0</v>
      </c>
      <c r="G4" s="162">
        <v>0</v>
      </c>
      <c r="H4" s="75">
        <f>2.4*E4</f>
        <v>0</v>
      </c>
      <c r="I4" s="163" t="e">
        <f>H4/SUM($H$4:$H$8)</f>
        <v>#DIV/0!</v>
      </c>
    </row>
    <row r="5" spans="1:11" ht="30" customHeight="1">
      <c r="A5" s="175"/>
      <c r="B5" s="76"/>
      <c r="C5" s="103"/>
      <c r="D5" s="103"/>
      <c r="E5" s="174"/>
      <c r="F5" s="164">
        <v>6</v>
      </c>
      <c r="G5" s="165">
        <f>8+8+4+10+7+13</f>
        <v>50</v>
      </c>
      <c r="H5" s="75">
        <f>1.75*E5</f>
        <v>0</v>
      </c>
      <c r="I5" s="163" t="e">
        <f>H5/SUM($H$4:$H$8)</f>
        <v>#DIV/0!</v>
      </c>
    </row>
    <row r="6" spans="1:11" ht="30" customHeight="1">
      <c r="A6" s="175"/>
      <c r="B6" s="175"/>
      <c r="C6" s="103"/>
      <c r="D6" s="103"/>
      <c r="E6" s="176"/>
      <c r="F6" s="164">
        <v>0</v>
      </c>
      <c r="G6" s="166">
        <v>0</v>
      </c>
      <c r="H6" s="167">
        <f t="shared" ref="H6:H7" si="0">E6</f>
        <v>0</v>
      </c>
      <c r="I6" s="163" t="e">
        <f>H6/SUM($H$4:$H$8)</f>
        <v>#DIV/0!</v>
      </c>
      <c r="K6" s="2"/>
    </row>
    <row r="7" spans="1:11" ht="30" customHeight="1">
      <c r="A7" s="175"/>
      <c r="B7" s="175"/>
      <c r="C7" s="103"/>
      <c r="D7" s="103"/>
      <c r="E7" s="103"/>
      <c r="F7" s="164">
        <v>6</v>
      </c>
      <c r="G7" s="165">
        <f>0.86+0.28+0.4+0.18+0.66+0.78</f>
        <v>3.16</v>
      </c>
      <c r="H7" s="75">
        <f t="shared" si="0"/>
        <v>0</v>
      </c>
      <c r="I7" s="163" t="e">
        <f>H7/SUM($H$4:$H$8)</f>
        <v>#DIV/0!</v>
      </c>
    </row>
    <row r="8" spans="1:11" ht="30" customHeight="1" thickBot="1">
      <c r="A8" s="175"/>
      <c r="B8" s="175"/>
      <c r="C8" s="103"/>
      <c r="D8" s="103"/>
      <c r="E8" s="103"/>
      <c r="F8" s="168">
        <v>1</v>
      </c>
      <c r="G8" s="169">
        <v>3</v>
      </c>
      <c r="H8" s="170">
        <f>1.5*E8</f>
        <v>0</v>
      </c>
      <c r="I8" s="163" t="e">
        <f>H8/SUM($H$4:$H$8)</f>
        <v>#DIV/0!</v>
      </c>
    </row>
    <row r="9" spans="1:11" ht="15" thickTop="1">
      <c r="D9" s="2"/>
      <c r="E9" s="72" t="s">
        <v>182</v>
      </c>
      <c r="F9" s="2"/>
      <c r="G9" s="2"/>
      <c r="H9" s="172">
        <f>SUM(H3:H8)</f>
        <v>0</v>
      </c>
      <c r="I9" s="171"/>
    </row>
    <row r="10" spans="1:11">
      <c r="D10" s="2"/>
      <c r="E10" s="72" t="s">
        <v>183</v>
      </c>
      <c r="F10" s="2"/>
      <c r="G10" s="2"/>
      <c r="H10" s="77"/>
      <c r="I10" s="95" t="e">
        <f>H10/H9</f>
        <v>#DIV/0!</v>
      </c>
    </row>
    <row r="11" spans="1:11">
      <c r="D11" s="2"/>
      <c r="E11" s="2"/>
      <c r="F11" s="2"/>
      <c r="G11" s="2"/>
    </row>
    <row r="12" spans="1:11">
      <c r="D12" s="2"/>
      <c r="E12" s="2"/>
      <c r="F12" s="2"/>
      <c r="G12" s="2"/>
    </row>
    <row r="13" spans="1:11">
      <c r="F13" s="2"/>
      <c r="G13" s="2"/>
      <c r="H13" s="159"/>
      <c r="I13" s="159"/>
      <c r="J13" s="160"/>
    </row>
    <row r="14" spans="1:11">
      <c r="D14" s="2"/>
      <c r="E14" s="72"/>
      <c r="F14" s="2"/>
      <c r="G14" s="2"/>
    </row>
    <row r="15" spans="1:11">
      <c r="D15" s="2"/>
      <c r="E15" s="72"/>
      <c r="F15" s="2"/>
      <c r="G15" s="2"/>
    </row>
    <row r="16" spans="1:11">
      <c r="E16" s="72"/>
      <c r="F16" s="2"/>
      <c r="G16" s="2"/>
    </row>
    <row r="17" spans="5:5">
      <c r="E17" s="72"/>
    </row>
  </sheetData>
  <mergeCells count="5">
    <mergeCell ref="H1:J1"/>
    <mergeCell ref="A1:A2"/>
    <mergeCell ref="D1:E1"/>
    <mergeCell ref="F1:G1"/>
    <mergeCell ref="B1:C1"/>
  </mergeCells>
  <pageMargins left="0.70866141732283472" right="0.70866141732283472" top="1.33" bottom="0.74803149606299213" header="0.68" footer="0.31496062992125984"/>
  <pageSetup paperSize="9" orientation="landscape" r:id="rId1"/>
  <headerFooter>
    <oddHeader>&amp;C&amp;"-,Gras"&amp;12REPARTITION DES DECHETS PAR FOURNISSEURS ET PAR ANNEE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D62B-8B43-4B96-B44F-79C39921344F}">
  <dimension ref="B2:Q115"/>
  <sheetViews>
    <sheetView workbookViewId="0"/>
  </sheetViews>
  <sheetFormatPr defaultColWidth="11.42578125" defaultRowHeight="14.45"/>
  <cols>
    <col min="2" max="2" width="11" bestFit="1" customWidth="1"/>
    <col min="3" max="3" width="50.42578125" bestFit="1" customWidth="1"/>
    <col min="4" max="4" width="18.7109375" bestFit="1" customWidth="1"/>
    <col min="5" max="5" width="26.28515625" bestFit="1" customWidth="1"/>
    <col min="6" max="6" width="22.140625" bestFit="1" customWidth="1"/>
    <col min="7" max="7" width="29" bestFit="1" customWidth="1"/>
    <col min="8" max="8" width="21.28515625" bestFit="1" customWidth="1"/>
    <col min="9" max="9" width="10.28515625" customWidth="1"/>
    <col min="10" max="10" width="8.7109375" customWidth="1"/>
    <col min="12" max="12" width="36.7109375" bestFit="1" customWidth="1"/>
    <col min="15" max="15" width="19.7109375" customWidth="1"/>
    <col min="16" max="16" width="13" customWidth="1"/>
  </cols>
  <sheetData>
    <row r="2" spans="2:15">
      <c r="C2" s="105" t="s">
        <v>184</v>
      </c>
      <c r="D2" s="106" t="s">
        <v>185</v>
      </c>
      <c r="E2" s="105" t="s">
        <v>186</v>
      </c>
      <c r="F2" s="105" t="s">
        <v>187</v>
      </c>
    </row>
    <row r="3" spans="2:15" ht="15" customHeight="1">
      <c r="C3" s="4"/>
      <c r="D3" s="103"/>
      <c r="E3" s="103"/>
      <c r="F3" s="4"/>
    </row>
    <row r="4" spans="2:15" ht="24" customHeight="1">
      <c r="C4" s="4"/>
      <c r="D4" s="103"/>
      <c r="E4" s="103"/>
      <c r="F4" s="4"/>
    </row>
    <row r="5" spans="2:15" ht="24" customHeight="1">
      <c r="C5" s="4"/>
      <c r="D5" s="103"/>
      <c r="E5" s="103"/>
      <c r="F5" s="4"/>
    </row>
    <row r="6" spans="2:15" ht="24" customHeight="1">
      <c r="C6" s="4"/>
      <c r="D6" s="103"/>
      <c r="E6" s="103"/>
      <c r="F6" s="4"/>
    </row>
    <row r="7" spans="2:15" ht="15" customHeight="1">
      <c r="C7" s="4"/>
      <c r="D7" s="103"/>
      <c r="E7" s="103"/>
      <c r="F7" s="4"/>
    </row>
    <row r="8" spans="2:15" ht="24" customHeight="1">
      <c r="B8" s="68"/>
      <c r="C8" s="4"/>
      <c r="D8" s="103"/>
      <c r="E8" s="103"/>
      <c r="F8" s="4"/>
    </row>
    <row r="9" spans="2:15" ht="15" customHeight="1">
      <c r="B9" s="68"/>
      <c r="C9" s="4"/>
      <c r="D9" s="103"/>
      <c r="E9" s="103"/>
      <c r="F9" s="4"/>
    </row>
    <row r="10" spans="2:15" ht="15" customHeight="1">
      <c r="C10" s="4"/>
      <c r="D10" s="103"/>
      <c r="E10" s="103"/>
      <c r="F10" s="4"/>
    </row>
    <row r="11" spans="2:15" ht="15" customHeight="1">
      <c r="C11" s="4"/>
      <c r="D11" s="103"/>
      <c r="E11" s="103"/>
      <c r="F11" s="4"/>
    </row>
    <row r="12" spans="2:15" ht="15" customHeight="1">
      <c r="C12" s="4"/>
      <c r="D12" s="103"/>
      <c r="E12" s="103"/>
      <c r="F12" s="4"/>
      <c r="H12" s="64"/>
      <c r="I12" s="2"/>
      <c r="J12" s="2"/>
      <c r="K12" s="2"/>
      <c r="L12" s="2"/>
      <c r="M12" s="104"/>
      <c r="N12" s="77"/>
      <c r="O12" s="78"/>
    </row>
    <row r="13" spans="2:15" ht="15" customHeight="1">
      <c r="C13" s="4"/>
      <c r="D13" s="103"/>
      <c r="E13" s="103"/>
      <c r="F13" s="4"/>
      <c r="H13" s="64"/>
      <c r="I13" s="2"/>
      <c r="J13" s="2"/>
      <c r="K13" s="2"/>
      <c r="L13" s="2"/>
      <c r="M13" s="104"/>
      <c r="N13" s="77"/>
      <c r="O13" s="78"/>
    </row>
    <row r="14" spans="2:15" ht="15" customHeight="1">
      <c r="C14" s="4"/>
      <c r="D14" s="103"/>
      <c r="E14" s="103"/>
      <c r="F14" s="4"/>
    </row>
    <row r="15" spans="2:15" ht="15" customHeight="1">
      <c r="C15" s="4"/>
      <c r="D15" s="103"/>
      <c r="E15" s="103"/>
      <c r="F15" s="4"/>
    </row>
    <row r="16" spans="2:15" ht="15" customHeight="1">
      <c r="C16" s="4"/>
      <c r="D16" s="103"/>
      <c r="E16" s="103"/>
      <c r="F16" s="4"/>
    </row>
    <row r="17" spans="3:10" ht="15" customHeight="1">
      <c r="C17" s="4"/>
      <c r="D17" s="103"/>
      <c r="E17" s="103"/>
      <c r="F17" s="4"/>
    </row>
    <row r="18" spans="3:10" ht="24" customHeight="1">
      <c r="C18" s="4"/>
      <c r="D18" s="103"/>
      <c r="E18" s="103"/>
      <c r="F18" s="4"/>
    </row>
    <row r="19" spans="3:10" ht="24" customHeight="1">
      <c r="C19" s="4"/>
      <c r="D19" s="103"/>
      <c r="E19" s="103"/>
      <c r="F19" s="4"/>
    </row>
    <row r="20" spans="3:10" ht="24.75" customHeight="1">
      <c r="C20" s="4"/>
      <c r="D20" s="103"/>
      <c r="E20" s="103"/>
      <c r="F20" s="4"/>
    </row>
    <row r="21" spans="3:10" ht="15.75" customHeight="1">
      <c r="C21" s="4"/>
      <c r="D21" s="103"/>
      <c r="E21" s="103"/>
      <c r="F21" s="4"/>
    </row>
    <row r="22" spans="3:10">
      <c r="C22" s="70"/>
      <c r="D22" s="70">
        <f>SUM(D3:D21)</f>
        <v>0</v>
      </c>
      <c r="E22" s="71">
        <f>SUM(E3:E21)</f>
        <v>0</v>
      </c>
      <c r="F22" s="179">
        <f>SUM(F3:F21)</f>
        <v>0</v>
      </c>
    </row>
    <row r="26" spans="3:10">
      <c r="D26" s="177"/>
      <c r="E26" s="180"/>
      <c r="J26" s="135"/>
    </row>
    <row r="27" spans="3:10">
      <c r="D27" s="177"/>
      <c r="E27" s="181"/>
    </row>
    <row r="28" spans="3:10">
      <c r="C28" s="182"/>
      <c r="D28" s="183"/>
      <c r="E28" s="184"/>
    </row>
    <row r="29" spans="3:10">
      <c r="C29" s="182"/>
      <c r="D29" s="183"/>
      <c r="E29" s="184"/>
    </row>
    <row r="30" spans="3:10">
      <c r="D30" s="183"/>
      <c r="E30" s="184"/>
    </row>
    <row r="31" spans="3:10">
      <c r="D31" s="183"/>
      <c r="E31" s="61"/>
    </row>
    <row r="32" spans="3:10">
      <c r="D32" s="183"/>
      <c r="E32" s="184"/>
    </row>
    <row r="33" spans="3:7">
      <c r="D33" s="183"/>
      <c r="E33" s="184"/>
    </row>
    <row r="34" spans="3:7">
      <c r="D34" s="183"/>
      <c r="E34" s="184"/>
    </row>
    <row r="35" spans="3:7">
      <c r="D35" s="177"/>
      <c r="E35" s="61"/>
    </row>
    <row r="36" spans="3:7">
      <c r="C36" s="31"/>
      <c r="D36" s="177"/>
      <c r="E36" s="185"/>
      <c r="F36" s="79"/>
      <c r="G36" s="79"/>
    </row>
    <row r="37" spans="3:7">
      <c r="C37" s="182"/>
      <c r="D37" s="182"/>
      <c r="E37" s="184"/>
    </row>
    <row r="38" spans="3:7">
      <c r="C38" s="182"/>
      <c r="D38" s="182"/>
      <c r="E38" s="184"/>
    </row>
    <row r="39" spans="3:7">
      <c r="C39" s="182"/>
      <c r="D39" s="182"/>
      <c r="E39" s="184"/>
    </row>
    <row r="42" spans="3:7">
      <c r="G42" s="186"/>
    </row>
    <row r="43" spans="3:7">
      <c r="G43" s="186"/>
    </row>
    <row r="44" spans="3:7">
      <c r="G44" s="186"/>
    </row>
    <row r="45" spans="3:7">
      <c r="G45" s="186"/>
    </row>
    <row r="46" spans="3:7">
      <c r="G46" s="186"/>
    </row>
    <row r="47" spans="3:7">
      <c r="G47" s="186"/>
    </row>
    <row r="48" spans="3:7">
      <c r="G48" s="186"/>
    </row>
    <row r="49" spans="3:14">
      <c r="G49" s="186"/>
    </row>
    <row r="50" spans="3:14">
      <c r="G50" s="186"/>
    </row>
    <row r="51" spans="3:14">
      <c r="G51" s="186"/>
    </row>
    <row r="52" spans="3:14">
      <c r="C52" s="187"/>
      <c r="D52" s="188"/>
    </row>
    <row r="53" spans="3:14">
      <c r="D53" s="186"/>
    </row>
    <row r="54" spans="3:14">
      <c r="D54" s="186"/>
    </row>
    <row r="59" spans="3:14">
      <c r="F59" s="31"/>
      <c r="G59" s="31"/>
      <c r="H59" s="61"/>
    </row>
    <row r="60" spans="3:14" ht="16.899999999999999">
      <c r="C60" s="190"/>
      <c r="E60" s="186"/>
      <c r="G60" s="178"/>
      <c r="H60" s="89"/>
      <c r="I60" s="189"/>
      <c r="J60" s="61"/>
      <c r="K60" s="189"/>
      <c r="N60" s="212"/>
    </row>
    <row r="61" spans="3:14" ht="16.899999999999999">
      <c r="C61" s="190"/>
      <c r="D61" s="137"/>
      <c r="E61" s="186"/>
      <c r="F61" s="61"/>
      <c r="G61" s="178"/>
      <c r="H61" s="89"/>
      <c r="I61" s="189"/>
      <c r="J61" s="61"/>
      <c r="K61" s="189"/>
      <c r="N61" s="212"/>
    </row>
    <row r="62" spans="3:14" ht="16.899999999999999">
      <c r="C62" s="190"/>
      <c r="E62" s="186"/>
      <c r="G62" s="178"/>
      <c r="H62" s="89"/>
      <c r="I62" s="189"/>
      <c r="J62" s="61"/>
      <c r="K62" s="189"/>
      <c r="N62" s="212"/>
    </row>
    <row r="63" spans="3:14" ht="16.899999999999999">
      <c r="C63" s="190"/>
      <c r="D63" s="137"/>
      <c r="E63" s="186"/>
      <c r="F63" s="61"/>
      <c r="G63" s="178"/>
      <c r="H63" s="89"/>
      <c r="I63" s="61"/>
      <c r="J63" s="61"/>
      <c r="N63" s="212"/>
    </row>
    <row r="64" spans="3:14" ht="16.899999999999999">
      <c r="C64" s="190"/>
      <c r="D64" s="89"/>
      <c r="E64" s="186"/>
      <c r="G64" s="178"/>
    </row>
    <row r="65" spans="3:14" ht="16.899999999999999">
      <c r="C65" s="190"/>
      <c r="E65" s="186"/>
      <c r="G65" s="178"/>
      <c r="H65" s="89"/>
      <c r="J65" s="61"/>
      <c r="N65" s="212"/>
    </row>
    <row r="66" spans="3:14" ht="16.899999999999999">
      <c r="C66" s="190"/>
      <c r="E66" s="186"/>
      <c r="G66" s="178"/>
      <c r="H66" s="89"/>
      <c r="J66" s="61"/>
      <c r="N66" s="212"/>
    </row>
    <row r="67" spans="3:14" ht="16.899999999999999">
      <c r="C67" s="190"/>
      <c r="E67" s="186"/>
      <c r="G67" s="178"/>
      <c r="H67" s="89"/>
      <c r="I67" s="61"/>
      <c r="J67" s="61"/>
    </row>
    <row r="68" spans="3:14" ht="16.899999999999999">
      <c r="C68" s="190"/>
      <c r="E68" s="186"/>
      <c r="G68" s="178"/>
      <c r="H68" s="89"/>
      <c r="I68" s="61"/>
      <c r="J68" s="61"/>
    </row>
    <row r="69" spans="3:14" ht="16.899999999999999">
      <c r="C69" s="190"/>
      <c r="E69" s="186"/>
    </row>
    <row r="70" spans="3:14">
      <c r="C70" s="191"/>
    </row>
    <row r="71" spans="3:14" ht="16.899999999999999">
      <c r="C71" s="190"/>
      <c r="E71" s="186"/>
      <c r="H71" s="186"/>
    </row>
    <row r="72" spans="3:14" ht="16.899999999999999">
      <c r="C72" s="190"/>
      <c r="D72" s="137"/>
      <c r="E72" s="186"/>
      <c r="H72" s="186"/>
    </row>
    <row r="73" spans="3:14" ht="16.899999999999999">
      <c r="C73" s="190"/>
      <c r="E73" s="186"/>
      <c r="H73" s="186"/>
    </row>
    <row r="74" spans="3:14" ht="16.899999999999999">
      <c r="C74" s="190"/>
      <c r="D74" s="137"/>
      <c r="E74" s="186"/>
      <c r="H74" s="186"/>
    </row>
    <row r="75" spans="3:14" ht="16.899999999999999">
      <c r="C75" s="190"/>
      <c r="D75" s="89"/>
      <c r="E75" s="186"/>
      <c r="F75" s="61"/>
      <c r="H75" s="186"/>
    </row>
    <row r="76" spans="3:14" ht="16.899999999999999">
      <c r="C76" s="190"/>
      <c r="E76" s="186"/>
      <c r="H76" s="186"/>
    </row>
    <row r="77" spans="3:14" ht="16.899999999999999">
      <c r="C77" s="190"/>
      <c r="D77" s="89"/>
      <c r="E77" s="186"/>
      <c r="F77" s="61"/>
      <c r="H77" s="186"/>
    </row>
    <row r="78" spans="3:14" ht="16.899999999999999">
      <c r="C78" s="190"/>
      <c r="E78" s="186"/>
      <c r="H78" s="186"/>
    </row>
    <row r="79" spans="3:14" ht="16.899999999999999">
      <c r="C79" s="190"/>
      <c r="E79" s="186"/>
    </row>
    <row r="80" spans="3:14" ht="16.899999999999999">
      <c r="C80" s="190"/>
      <c r="E80" s="186"/>
      <c r="I80" s="192"/>
    </row>
    <row r="81" spans="3:17" ht="16.899999999999999">
      <c r="C81" s="190"/>
      <c r="G81" s="61"/>
    </row>
    <row r="83" spans="3:17">
      <c r="E83" s="31"/>
      <c r="F83" s="31"/>
      <c r="G83" s="31"/>
      <c r="H83" s="31"/>
      <c r="I83" s="31"/>
      <c r="J83" s="31"/>
      <c r="K83" s="31"/>
      <c r="L83" s="31"/>
      <c r="O83" s="31"/>
    </row>
    <row r="84" spans="3:17">
      <c r="C84" s="31"/>
      <c r="D84" s="31"/>
      <c r="E84" s="186"/>
      <c r="F84" s="186"/>
      <c r="G84" s="61"/>
      <c r="H84" s="178"/>
      <c r="J84" s="135"/>
      <c r="K84" s="61"/>
      <c r="M84" s="178"/>
    </row>
    <row r="85" spans="3:17">
      <c r="C85" s="31"/>
      <c r="D85" s="31"/>
      <c r="E85" s="186"/>
      <c r="F85" s="186"/>
      <c r="G85" s="61"/>
      <c r="H85" s="178"/>
      <c r="J85" s="135"/>
      <c r="K85" s="61"/>
    </row>
    <row r="86" spans="3:17">
      <c r="C86" s="31"/>
      <c r="D86" s="31"/>
      <c r="E86" s="186"/>
      <c r="F86" s="186"/>
      <c r="G86" s="61"/>
      <c r="H86" s="178"/>
      <c r="J86" s="135"/>
      <c r="K86" s="61"/>
    </row>
    <row r="87" spans="3:17">
      <c r="C87" s="31"/>
      <c r="D87" s="31"/>
      <c r="E87" s="186"/>
      <c r="F87" s="186"/>
      <c r="G87" s="61"/>
      <c r="H87" s="178"/>
      <c r="J87" s="135"/>
      <c r="K87" s="61"/>
      <c r="P87" s="178"/>
    </row>
    <row r="88" spans="3:17">
      <c r="C88" s="31"/>
      <c r="D88" s="31"/>
      <c r="E88" s="186"/>
      <c r="F88" s="186"/>
      <c r="G88" s="61"/>
      <c r="H88" s="178"/>
      <c r="I88" s="61"/>
      <c r="J88" s="135"/>
      <c r="K88" s="61"/>
      <c r="M88" s="178"/>
      <c r="P88" s="178"/>
    </row>
    <row r="89" spans="3:17">
      <c r="C89" s="31"/>
      <c r="D89" s="31"/>
      <c r="E89" s="186"/>
      <c r="F89" s="186"/>
      <c r="G89" s="61"/>
      <c r="H89" s="178"/>
      <c r="J89" s="135"/>
      <c r="K89" s="61"/>
      <c r="P89" s="178"/>
      <c r="Q89" s="186"/>
    </row>
    <row r="90" spans="3:17">
      <c r="C90" s="31"/>
      <c r="D90" s="31"/>
      <c r="E90" s="186"/>
      <c r="F90" s="186"/>
      <c r="G90" s="61"/>
      <c r="H90" s="178"/>
      <c r="I90" s="61"/>
      <c r="J90" s="135"/>
      <c r="K90" s="61"/>
      <c r="P90" s="178"/>
      <c r="Q90" s="186"/>
    </row>
    <row r="91" spans="3:17">
      <c r="C91" s="31"/>
      <c r="D91" s="31"/>
      <c r="E91" s="31"/>
      <c r="F91" s="31"/>
      <c r="G91" s="31"/>
      <c r="H91" s="193"/>
      <c r="I91" s="31"/>
      <c r="J91" s="194"/>
      <c r="K91" s="90"/>
      <c r="L91" s="90"/>
    </row>
    <row r="92" spans="3:17">
      <c r="C92" s="31"/>
      <c r="G92" s="195"/>
      <c r="I92" s="177"/>
      <c r="J92" s="178"/>
    </row>
    <row r="93" spans="3:17">
      <c r="D93" s="31"/>
      <c r="J93" s="61"/>
    </row>
    <row r="94" spans="3:17">
      <c r="D94" s="31"/>
      <c r="J94" s="186"/>
    </row>
    <row r="95" spans="3:17">
      <c r="D95" s="31"/>
    </row>
    <row r="96" spans="3:17">
      <c r="L96" s="61"/>
      <c r="N96" s="61"/>
    </row>
    <row r="97" spans="4:10">
      <c r="D97" s="31"/>
    </row>
    <row r="99" spans="4:10">
      <c r="D99" s="31"/>
      <c r="J99" s="61"/>
    </row>
    <row r="103" spans="4:10">
      <c r="D103" s="31"/>
    </row>
    <row r="107" spans="4:10">
      <c r="D107" s="94"/>
    </row>
    <row r="113" spans="4:10">
      <c r="D113" s="195"/>
      <c r="G113" s="195"/>
      <c r="J113" s="195"/>
    </row>
    <row r="114" spans="4:10">
      <c r="D114" s="195"/>
      <c r="G114" s="195"/>
    </row>
    <row r="115" spans="4:10">
      <c r="D115" s="195"/>
      <c r="G115" s="195"/>
    </row>
  </sheetData>
  <autoFilter ref="C2:F22" xr:uid="{20C9D62B-8B43-4B96-B44F-79C39921344F}">
    <sortState xmlns:xlrd2="http://schemas.microsoft.com/office/spreadsheetml/2017/richdata2" ref="C3:F22">
      <sortCondition ref="C3:C22"/>
    </sortState>
  </autoFilter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D9CA-2FE3-4256-A5CA-F3D3C87CEDFD}">
  <sheetPr>
    <tabColor theme="5" tint="0.79998168889431442"/>
  </sheetPr>
  <dimension ref="B2:L50"/>
  <sheetViews>
    <sheetView workbookViewId="0"/>
  </sheetViews>
  <sheetFormatPr defaultColWidth="11.42578125" defaultRowHeight="14.45"/>
  <cols>
    <col min="4" max="4" width="31.5703125" bestFit="1" customWidth="1"/>
    <col min="5" max="5" width="14.7109375" customWidth="1"/>
    <col min="6" max="6" width="19.7109375" customWidth="1"/>
    <col min="7" max="7" width="19" customWidth="1"/>
    <col min="9" max="9" width="37.85546875" customWidth="1"/>
    <col min="11" max="11" width="19.42578125" bestFit="1" customWidth="1"/>
  </cols>
  <sheetData>
    <row r="2" spans="2:12">
      <c r="B2" s="155" t="s">
        <v>188</v>
      </c>
    </row>
    <row r="3" spans="2:12">
      <c r="B3" s="154" t="s">
        <v>189</v>
      </c>
    </row>
    <row r="6" spans="2:12">
      <c r="C6" s="80" t="s">
        <v>190</v>
      </c>
      <c r="D6" s="80" t="s">
        <v>191</v>
      </c>
      <c r="E6" s="80" t="s">
        <v>192</v>
      </c>
      <c r="F6" s="80" t="s">
        <v>193</v>
      </c>
      <c r="G6" s="80" t="s">
        <v>194</v>
      </c>
      <c r="H6" s="80" t="s">
        <v>195</v>
      </c>
      <c r="I6" s="80" t="s">
        <v>196</v>
      </c>
    </row>
    <row r="7" spans="2:12">
      <c r="C7" s="81"/>
      <c r="D7" s="81"/>
      <c r="E7" s="82"/>
      <c r="F7" s="83"/>
      <c r="G7" s="84"/>
      <c r="H7" s="4"/>
      <c r="I7" s="4"/>
      <c r="K7" t="s">
        <v>197</v>
      </c>
    </row>
    <row r="8" spans="2:12">
      <c r="C8" s="81"/>
      <c r="D8" s="81"/>
      <c r="E8" s="82"/>
      <c r="F8" s="83"/>
      <c r="G8" s="84"/>
      <c r="H8" s="4"/>
      <c r="I8" s="4"/>
      <c r="K8" t="s">
        <v>198</v>
      </c>
      <c r="L8" s="85">
        <f>SUMIF($H$7:$H$50,K8,$G$7:$G$50)</f>
        <v>0</v>
      </c>
    </row>
    <row r="9" spans="2:12">
      <c r="C9" s="81"/>
      <c r="D9" s="81"/>
      <c r="E9" s="82"/>
      <c r="F9" s="82"/>
      <c r="G9" s="84"/>
      <c r="H9" s="4"/>
      <c r="I9" s="4"/>
      <c r="K9" t="s">
        <v>199</v>
      </c>
      <c r="L9" s="85">
        <f>SUMIF($H$7:$H$50,K9,$G$7:$G$50)</f>
        <v>0</v>
      </c>
    </row>
    <row r="10" spans="2:12">
      <c r="C10" s="81"/>
      <c r="D10" s="81"/>
      <c r="E10" s="82"/>
      <c r="F10" s="83"/>
      <c r="G10" s="84"/>
      <c r="H10" s="4"/>
      <c r="I10" s="4"/>
      <c r="K10" t="s">
        <v>200</v>
      </c>
      <c r="L10" s="85">
        <f>SUMIF($H$7:$H$50,K10,$G$7:$G$50)</f>
        <v>0</v>
      </c>
    </row>
    <row r="11" spans="2:12">
      <c r="C11" s="81"/>
      <c r="D11" s="81"/>
      <c r="E11" s="82"/>
      <c r="F11" s="82"/>
      <c r="G11" s="84"/>
      <c r="H11" s="4"/>
      <c r="I11" s="4"/>
      <c r="K11" t="s">
        <v>201</v>
      </c>
      <c r="L11" s="85">
        <f>SUMIF($H$7:$H$50,K11,$G$7:$G$50)</f>
        <v>0</v>
      </c>
    </row>
    <row r="12" spans="2:12">
      <c r="C12" s="81"/>
      <c r="D12" s="81"/>
      <c r="E12" s="82"/>
      <c r="F12" s="83"/>
      <c r="G12" s="84"/>
      <c r="H12" s="4"/>
      <c r="I12" s="4"/>
      <c r="K12" t="s">
        <v>202</v>
      </c>
      <c r="L12" s="85">
        <f>L13-SUM(L8:L11)</f>
        <v>0</v>
      </c>
    </row>
    <row r="13" spans="2:12">
      <c r="C13" s="81"/>
      <c r="D13" s="81"/>
      <c r="E13" s="82"/>
      <c r="F13" s="83"/>
      <c r="G13" s="84"/>
      <c r="H13" s="4"/>
      <c r="I13" s="4"/>
      <c r="L13" s="85">
        <f>SUM(G7:G50)</f>
        <v>0</v>
      </c>
    </row>
    <row r="14" spans="2:12">
      <c r="C14" s="81"/>
      <c r="D14" s="81"/>
      <c r="E14" s="82"/>
      <c r="F14" s="83"/>
      <c r="G14" s="84"/>
      <c r="H14" s="4"/>
      <c r="I14" s="4"/>
    </row>
    <row r="15" spans="2:12">
      <c r="C15" s="81"/>
      <c r="D15" s="81"/>
      <c r="E15" s="82"/>
      <c r="F15" s="82"/>
      <c r="G15" s="84"/>
      <c r="H15" s="4"/>
      <c r="I15" s="4"/>
    </row>
    <row r="16" spans="2:12">
      <c r="C16" s="81"/>
      <c r="D16" s="81"/>
      <c r="E16" s="82"/>
      <c r="F16" s="82"/>
      <c r="G16" s="84"/>
      <c r="H16" s="4"/>
      <c r="I16" s="4"/>
    </row>
    <row r="17" spans="3:9">
      <c r="C17" s="81"/>
      <c r="D17" s="81"/>
      <c r="E17" s="82"/>
      <c r="F17" s="83"/>
      <c r="G17" s="84"/>
      <c r="H17" s="4"/>
      <c r="I17" s="4"/>
    </row>
    <row r="18" spans="3:9">
      <c r="C18" s="81"/>
      <c r="D18" s="81"/>
      <c r="E18" s="82"/>
      <c r="F18" s="83"/>
      <c r="G18" s="84"/>
      <c r="H18" s="4"/>
      <c r="I18" s="4"/>
    </row>
    <row r="19" spans="3:9">
      <c r="C19" s="81"/>
      <c r="D19" s="81"/>
      <c r="E19" s="82"/>
      <c r="F19" s="82"/>
      <c r="G19" s="84"/>
      <c r="H19" s="4"/>
      <c r="I19" s="4"/>
    </row>
    <row r="20" spans="3:9">
      <c r="C20" s="81"/>
      <c r="D20" s="81"/>
      <c r="E20" s="82"/>
      <c r="F20" s="83"/>
      <c r="G20" s="84"/>
      <c r="H20" s="4"/>
      <c r="I20" s="4"/>
    </row>
    <row r="21" spans="3:9">
      <c r="C21" s="81"/>
      <c r="D21" s="81"/>
      <c r="E21" s="82"/>
      <c r="F21" s="82"/>
      <c r="G21" s="84"/>
      <c r="H21" s="4"/>
      <c r="I21" s="4"/>
    </row>
    <row r="22" spans="3:9">
      <c r="C22" s="81"/>
      <c r="D22" s="81"/>
      <c r="E22" s="82"/>
      <c r="F22" s="82"/>
      <c r="G22" s="84"/>
      <c r="H22" s="4"/>
      <c r="I22" s="4"/>
    </row>
    <row r="23" spans="3:9">
      <c r="C23" s="81"/>
      <c r="D23" s="81"/>
      <c r="E23" s="82"/>
      <c r="F23" s="82"/>
      <c r="G23" s="84"/>
      <c r="H23" s="4"/>
      <c r="I23" s="4"/>
    </row>
    <row r="24" spans="3:9">
      <c r="C24" s="81"/>
      <c r="D24" s="81"/>
      <c r="E24" s="82"/>
      <c r="F24" s="82"/>
      <c r="G24" s="84"/>
      <c r="H24" s="4"/>
      <c r="I24" s="4"/>
    </row>
    <row r="25" spans="3:9">
      <c r="C25" s="81"/>
      <c r="D25" s="81"/>
      <c r="E25" s="82"/>
      <c r="F25" s="82"/>
      <c r="G25" s="84"/>
      <c r="H25" s="4"/>
      <c r="I25" s="4"/>
    </row>
    <row r="26" spans="3:9">
      <c r="C26" s="81"/>
      <c r="D26" s="81"/>
      <c r="E26" s="82"/>
      <c r="F26" s="83"/>
      <c r="G26" s="84"/>
      <c r="H26" s="4"/>
      <c r="I26" s="4"/>
    </row>
    <row r="27" spans="3:9">
      <c r="C27" s="81"/>
      <c r="D27" s="81"/>
      <c r="E27" s="82"/>
      <c r="F27" s="83"/>
      <c r="G27" s="84"/>
      <c r="H27" s="4"/>
      <c r="I27" s="4"/>
    </row>
    <row r="28" spans="3:9">
      <c r="C28" s="81"/>
      <c r="D28" s="81"/>
      <c r="E28" s="82"/>
      <c r="F28" s="83"/>
      <c r="G28" s="84"/>
      <c r="H28" s="4"/>
      <c r="I28" s="4"/>
    </row>
    <row r="29" spans="3:9">
      <c r="C29" s="81"/>
      <c r="D29" s="81"/>
      <c r="E29" s="82"/>
      <c r="F29" s="82"/>
      <c r="G29" s="84"/>
      <c r="H29" s="4"/>
      <c r="I29" s="4"/>
    </row>
    <row r="30" spans="3:9">
      <c r="C30" s="81"/>
      <c r="D30" s="81"/>
      <c r="E30" s="82"/>
      <c r="F30" s="82"/>
      <c r="G30" s="84"/>
      <c r="H30" s="4"/>
      <c r="I30" s="4"/>
    </row>
    <row r="31" spans="3:9">
      <c r="C31" s="81"/>
      <c r="D31" s="81"/>
      <c r="E31" s="82"/>
      <c r="F31" s="83"/>
      <c r="G31" s="84"/>
      <c r="H31" s="4"/>
      <c r="I31" s="4"/>
    </row>
    <row r="32" spans="3:9">
      <c r="C32" s="81"/>
      <c r="D32" s="81"/>
      <c r="E32" s="82"/>
      <c r="F32" s="82"/>
      <c r="G32" s="84"/>
      <c r="H32" s="4"/>
      <c r="I32" s="4"/>
    </row>
    <row r="33" spans="3:9">
      <c r="C33" s="81"/>
      <c r="D33" s="81"/>
      <c r="E33" s="82"/>
      <c r="F33" s="82"/>
      <c r="G33" s="84"/>
      <c r="H33" s="4"/>
      <c r="I33" s="4"/>
    </row>
    <row r="34" spans="3:9">
      <c r="C34" s="81"/>
      <c r="D34" s="81"/>
      <c r="E34" s="82"/>
      <c r="F34" s="82"/>
      <c r="G34" s="84"/>
      <c r="H34" s="4"/>
      <c r="I34" s="4"/>
    </row>
    <row r="35" spans="3:9">
      <c r="C35" s="81"/>
      <c r="D35" s="81"/>
      <c r="E35" s="82"/>
      <c r="F35" s="83"/>
      <c r="G35" s="84"/>
      <c r="H35" s="4"/>
      <c r="I35" s="4"/>
    </row>
    <row r="36" spans="3:9">
      <c r="C36" s="81"/>
      <c r="D36" s="81"/>
      <c r="E36" s="82"/>
      <c r="F36" s="83"/>
      <c r="G36" s="84"/>
      <c r="H36" s="4"/>
      <c r="I36" s="4"/>
    </row>
    <row r="37" spans="3:9">
      <c r="C37" s="81"/>
      <c r="D37" s="81"/>
      <c r="E37" s="82"/>
      <c r="F37" s="83"/>
      <c r="G37" s="84"/>
      <c r="H37" s="4"/>
      <c r="I37" s="4"/>
    </row>
    <row r="38" spans="3:9">
      <c r="C38" s="81"/>
      <c r="D38" s="81"/>
      <c r="E38" s="82"/>
      <c r="F38" s="83"/>
      <c r="G38" s="84"/>
      <c r="H38" s="4"/>
      <c r="I38" s="4"/>
    </row>
    <row r="39" spans="3:9">
      <c r="C39" s="81"/>
      <c r="D39" s="81"/>
      <c r="E39" s="82"/>
      <c r="F39" s="83"/>
      <c r="G39" s="84"/>
      <c r="H39" s="4"/>
      <c r="I39" s="4"/>
    </row>
    <row r="40" spans="3:9">
      <c r="C40" s="81"/>
      <c r="D40" s="81"/>
      <c r="E40" s="82"/>
      <c r="F40" s="83"/>
      <c r="G40" s="84"/>
      <c r="H40" s="4"/>
      <c r="I40" s="4"/>
    </row>
    <row r="41" spans="3:9">
      <c r="C41" s="81"/>
      <c r="D41" s="81"/>
      <c r="E41" s="82"/>
      <c r="F41" s="83"/>
      <c r="G41" s="84"/>
      <c r="H41" s="4"/>
      <c r="I41" s="4"/>
    </row>
    <row r="42" spans="3:9">
      <c r="C42" s="81"/>
      <c r="D42" s="81"/>
      <c r="E42" s="82"/>
      <c r="F42" s="83"/>
      <c r="G42" s="84"/>
      <c r="H42" s="4"/>
      <c r="I42" s="4"/>
    </row>
    <row r="43" spans="3:9">
      <c r="C43" s="81"/>
      <c r="D43" s="81"/>
      <c r="E43" s="82"/>
      <c r="F43" s="83"/>
      <c r="G43" s="84"/>
      <c r="H43" s="4"/>
      <c r="I43" s="4"/>
    </row>
    <row r="44" spans="3:9">
      <c r="C44" s="81"/>
      <c r="D44" s="81"/>
      <c r="E44" s="82"/>
      <c r="F44" s="83"/>
      <c r="G44" s="84"/>
      <c r="H44" s="4"/>
      <c r="I44" s="4"/>
    </row>
    <row r="45" spans="3:9">
      <c r="C45" s="81"/>
      <c r="D45" s="81"/>
      <c r="E45" s="82"/>
      <c r="F45" s="83"/>
      <c r="G45" s="84"/>
      <c r="H45" s="4"/>
      <c r="I45" s="4"/>
    </row>
    <row r="46" spans="3:9">
      <c r="C46" s="81"/>
      <c r="D46" s="81"/>
      <c r="E46" s="82"/>
      <c r="F46" s="83"/>
      <c r="G46" s="84"/>
      <c r="H46" s="4"/>
      <c r="I46" s="4"/>
    </row>
    <row r="47" spans="3:9">
      <c r="C47" s="81"/>
      <c r="D47" s="81"/>
      <c r="E47" s="82"/>
      <c r="F47" s="83"/>
      <c r="G47" s="84"/>
      <c r="H47" s="4"/>
      <c r="I47" s="4"/>
    </row>
    <row r="48" spans="3:9">
      <c r="C48" s="81"/>
      <c r="D48" s="81"/>
      <c r="E48" s="82"/>
      <c r="F48" s="83"/>
      <c r="G48" s="84"/>
      <c r="H48" s="4"/>
      <c r="I48" s="4"/>
    </row>
    <row r="49" spans="3:9">
      <c r="C49" s="81"/>
      <c r="D49" s="81"/>
      <c r="E49" s="82"/>
      <c r="F49" s="83"/>
      <c r="G49" s="84"/>
      <c r="H49" s="4"/>
      <c r="I49" s="4"/>
    </row>
    <row r="50" spans="3:9">
      <c r="C50" s="81"/>
      <c r="D50" s="81"/>
      <c r="E50" s="82"/>
      <c r="F50" s="83"/>
      <c r="G50" s="84"/>
      <c r="H50" s="4"/>
      <c r="I50" s="4"/>
    </row>
  </sheetData>
  <autoFilter ref="C6:I50" xr:uid="{476BD9CA-2FE3-4256-A5CA-F3D3C87CEDF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1665-45F9-481D-85B6-558804AA4608}">
  <dimension ref="B3:O67"/>
  <sheetViews>
    <sheetView tabSelected="1" workbookViewId="0">
      <selection activeCell="C9" sqref="C8:C9"/>
    </sheetView>
  </sheetViews>
  <sheetFormatPr defaultColWidth="11.42578125" defaultRowHeight="14.45"/>
  <cols>
    <col min="1" max="1" width="7" customWidth="1"/>
    <col min="3" max="3" width="77.85546875" bestFit="1" customWidth="1"/>
    <col min="4" max="4" width="11.5703125" customWidth="1"/>
    <col min="5" max="5" width="17.140625" customWidth="1"/>
    <col min="6" max="6" width="5.7109375" customWidth="1"/>
    <col min="7" max="7" width="7.28515625" customWidth="1"/>
    <col min="8" max="8" width="11.28515625" bestFit="1" customWidth="1"/>
    <col min="9" max="9" width="18" bestFit="1" customWidth="1"/>
    <col min="10" max="10" width="18.42578125" customWidth="1"/>
  </cols>
  <sheetData>
    <row r="3" spans="2:11">
      <c r="C3" s="86" t="s">
        <v>203</v>
      </c>
      <c r="D3" t="s">
        <v>204</v>
      </c>
      <c r="G3" t="s">
        <v>205</v>
      </c>
      <c r="I3" t="s">
        <v>206</v>
      </c>
      <c r="J3" t="s">
        <v>196</v>
      </c>
      <c r="K3" t="s">
        <v>207</v>
      </c>
    </row>
    <row r="4" spans="2:11">
      <c r="C4" t="s">
        <v>208</v>
      </c>
      <c r="D4" s="108" t="s">
        <v>209</v>
      </c>
      <c r="E4" t="s">
        <v>210</v>
      </c>
      <c r="G4" t="s">
        <v>209</v>
      </c>
      <c r="H4" t="s">
        <v>181</v>
      </c>
    </row>
    <row r="5" spans="2:11">
      <c r="B5" s="197" t="s">
        <v>211</v>
      </c>
      <c r="C5" t="s">
        <v>212</v>
      </c>
      <c r="D5" s="115"/>
      <c r="E5" s="69" t="e">
        <f>D5/$D$12</f>
        <v>#DIV/0!</v>
      </c>
      <c r="G5" s="61">
        <f t="shared" ref="G5:G11" si="0">H5*D5</f>
        <v>0</v>
      </c>
      <c r="H5" s="69">
        <v>0.56663377089264344</v>
      </c>
      <c r="I5" s="61">
        <f>I32</f>
        <v>131.25</v>
      </c>
      <c r="K5" s="61">
        <f>SUM(K26:K28)</f>
        <v>-20</v>
      </c>
    </row>
    <row r="6" spans="2:11">
      <c r="B6" s="197"/>
      <c r="C6" t="s">
        <v>213</v>
      </c>
      <c r="D6" s="117"/>
      <c r="E6" s="69" t="e">
        <f t="shared" ref="E6:E11" si="1">D6/$D$12</f>
        <v>#DIV/0!</v>
      </c>
      <c r="G6" s="61">
        <f t="shared" si="0"/>
        <v>0</v>
      </c>
      <c r="H6" s="69">
        <v>8.2356603396588249E-2</v>
      </c>
      <c r="I6" s="61">
        <f>I51</f>
        <v>48</v>
      </c>
      <c r="K6" s="61">
        <f>K51</f>
        <v>-5.96</v>
      </c>
    </row>
    <row r="7" spans="2:11">
      <c r="B7" s="2" t="s">
        <v>214</v>
      </c>
      <c r="C7" t="s">
        <v>215</v>
      </c>
      <c r="D7" s="115"/>
      <c r="E7" s="69" t="e">
        <f t="shared" si="1"/>
        <v>#DIV/0!</v>
      </c>
      <c r="G7" s="61">
        <f t="shared" si="0"/>
        <v>0</v>
      </c>
      <c r="H7" s="69">
        <v>0.51432671385810969</v>
      </c>
    </row>
    <row r="8" spans="2:11">
      <c r="B8" s="2" t="s">
        <v>214</v>
      </c>
      <c r="C8" t="s">
        <v>91</v>
      </c>
      <c r="D8" s="115"/>
      <c r="E8" s="69" t="e">
        <f t="shared" si="1"/>
        <v>#DIV/0!</v>
      </c>
      <c r="G8" s="61">
        <f t="shared" si="0"/>
        <v>0</v>
      </c>
      <c r="H8" s="69">
        <v>0.11562443083654841</v>
      </c>
    </row>
    <row r="9" spans="2:11">
      <c r="B9" s="197" t="s">
        <v>211</v>
      </c>
      <c r="C9" t="s">
        <v>28</v>
      </c>
      <c r="D9" s="114"/>
      <c r="E9" s="69" t="e">
        <f t="shared" si="1"/>
        <v>#DIV/0!</v>
      </c>
      <c r="G9" s="61">
        <f t="shared" si="0"/>
        <v>0</v>
      </c>
      <c r="H9" s="69">
        <v>0.37356281925802759</v>
      </c>
    </row>
    <row r="10" spans="2:11">
      <c r="B10" s="197"/>
      <c r="C10" t="s">
        <v>216</v>
      </c>
      <c r="D10" s="117"/>
      <c r="E10" s="69" t="e">
        <f t="shared" si="1"/>
        <v>#DIV/0!</v>
      </c>
      <c r="G10" s="61">
        <f t="shared" si="0"/>
        <v>0</v>
      </c>
      <c r="H10" s="69">
        <v>7.6182263760526212E-2</v>
      </c>
    </row>
    <row r="11" spans="2:11">
      <c r="B11" s="2" t="s">
        <v>217</v>
      </c>
      <c r="C11" t="s">
        <v>218</v>
      </c>
      <c r="D11" s="116"/>
      <c r="E11" s="69" t="e">
        <f t="shared" si="1"/>
        <v>#DIV/0!</v>
      </c>
      <c r="G11" s="61">
        <f t="shared" si="0"/>
        <v>0</v>
      </c>
      <c r="H11" s="69">
        <v>0</v>
      </c>
    </row>
    <row r="12" spans="2:11">
      <c r="C12" s="31" t="s">
        <v>134</v>
      </c>
      <c r="D12" s="90">
        <f>SUM(D5:D11)</f>
        <v>0</v>
      </c>
      <c r="E12" s="69" t="e">
        <f>SUM(E5:E11)</f>
        <v>#DIV/0!</v>
      </c>
      <c r="G12" s="90">
        <f>SUM(G5:G11)</f>
        <v>0</v>
      </c>
      <c r="H12" s="91" t="e">
        <f>G12/D12</f>
        <v>#DIV/0!</v>
      </c>
      <c r="I12" s="61">
        <f>SUM(I5:I11)</f>
        <v>179.25</v>
      </c>
      <c r="J12" s="61"/>
      <c r="K12" s="61">
        <f>SUM(K5:K11)</f>
        <v>-25.96</v>
      </c>
    </row>
    <row r="13" spans="2:11">
      <c r="C13" t="s">
        <v>219</v>
      </c>
      <c r="D13" s="61" t="e">
        <f>D12*1000/'Achats matières dont recyclées'!K91</f>
        <v>#DIV/0!</v>
      </c>
      <c r="I13" s="69" t="e">
        <f>I12/D12</f>
        <v>#DIV/0!</v>
      </c>
    </row>
    <row r="15" spans="2:11">
      <c r="C15" t="s">
        <v>214</v>
      </c>
      <c r="D15" s="87">
        <f>SUM(D7,D8)</f>
        <v>0</v>
      </c>
      <c r="E15" s="61">
        <f>SUM(D6,D10)</f>
        <v>0</v>
      </c>
    </row>
    <row r="16" spans="2:11">
      <c r="C16" t="s">
        <v>217</v>
      </c>
      <c r="D16" s="118">
        <f>D11</f>
        <v>0</v>
      </c>
      <c r="E16" s="61">
        <f>SUM(D11)</f>
        <v>0</v>
      </c>
    </row>
    <row r="17" spans="3:11">
      <c r="C17" t="s">
        <v>211</v>
      </c>
      <c r="D17" s="119">
        <f>SUM(D5:D6,D9,D10)</f>
        <v>0</v>
      </c>
      <c r="E17" s="61">
        <f>SUM(D7:D9,D5)</f>
        <v>0</v>
      </c>
    </row>
    <row r="18" spans="3:11">
      <c r="E18" s="61">
        <f>SUM(E15:E17)</f>
        <v>0</v>
      </c>
    </row>
    <row r="20" spans="3:11">
      <c r="D20" s="69"/>
    </row>
    <row r="21" spans="3:11">
      <c r="C21" s="154" t="s">
        <v>220</v>
      </c>
      <c r="D21" s="154"/>
      <c r="E21" s="154"/>
      <c r="F21" s="154"/>
      <c r="G21" s="154"/>
      <c r="H21" s="154"/>
      <c r="I21" s="154"/>
      <c r="J21" s="154"/>
    </row>
    <row r="24" spans="3:11">
      <c r="C24" s="93" t="s">
        <v>221</v>
      </c>
      <c r="D24" t="s">
        <v>204</v>
      </c>
      <c r="H24" t="s">
        <v>205</v>
      </c>
      <c r="I24" t="s">
        <v>222</v>
      </c>
    </row>
    <row r="25" spans="3:11">
      <c r="D25" t="s">
        <v>209</v>
      </c>
      <c r="E25" t="s">
        <v>223</v>
      </c>
      <c r="H25" t="s">
        <v>181</v>
      </c>
      <c r="I25" t="s">
        <v>224</v>
      </c>
      <c r="J25" t="s">
        <v>196</v>
      </c>
      <c r="K25" t="s">
        <v>225</v>
      </c>
    </row>
    <row r="26" spans="3:11">
      <c r="C26" t="s">
        <v>63</v>
      </c>
      <c r="D26" s="61">
        <v>156</v>
      </c>
      <c r="E26" s="69">
        <f>D26/$D$32</f>
        <v>0.48624336480408442</v>
      </c>
      <c r="F26" s="89"/>
      <c r="G26" s="61"/>
      <c r="H26" s="69" t="s">
        <v>226</v>
      </c>
      <c r="I26" s="61">
        <f>50%*D26</f>
        <v>78</v>
      </c>
      <c r="J26" t="s">
        <v>227</v>
      </c>
      <c r="K26" s="61">
        <f>'Achats matières dont recyclées'!M88/1000</f>
        <v>0</v>
      </c>
    </row>
    <row r="27" spans="3:11">
      <c r="C27" t="s">
        <v>228</v>
      </c>
      <c r="D27" s="61">
        <v>58</v>
      </c>
      <c r="E27" s="69">
        <f>D27/$D$32</f>
        <v>0.18078278947844165</v>
      </c>
      <c r="F27" s="89"/>
      <c r="G27" s="61"/>
      <c r="H27" s="69">
        <v>0.53</v>
      </c>
      <c r="I27">
        <v>15</v>
      </c>
      <c r="J27" t="s">
        <v>229</v>
      </c>
      <c r="K27">
        <v>-20</v>
      </c>
    </row>
    <row r="28" spans="3:11">
      <c r="C28" t="s">
        <v>230</v>
      </c>
      <c r="D28" s="61">
        <v>53</v>
      </c>
      <c r="E28" s="69">
        <f t="shared" ref="E28:E31" si="2">D28/$D$32</f>
        <v>0.16519806624754152</v>
      </c>
      <c r="F28" s="89"/>
      <c r="G28" s="61"/>
      <c r="H28" s="69" t="s">
        <v>226</v>
      </c>
      <c r="I28" s="61">
        <f>25%*D28</f>
        <v>13.25</v>
      </c>
      <c r="J28" t="s">
        <v>231</v>
      </c>
      <c r="K28" s="61">
        <f>'Achats matières dont recyclées'!M84/1000</f>
        <v>0</v>
      </c>
    </row>
    <row r="29" spans="3:11">
      <c r="C29" t="s">
        <v>232</v>
      </c>
      <c r="D29" s="61">
        <v>50</v>
      </c>
      <c r="E29" s="69">
        <f t="shared" si="2"/>
        <v>0.15584723230900144</v>
      </c>
      <c r="F29" s="89"/>
      <c r="G29" s="61"/>
      <c r="H29" s="69" t="s">
        <v>226</v>
      </c>
      <c r="I29" s="61">
        <f>50%*D29</f>
        <v>25</v>
      </c>
      <c r="J29" t="s">
        <v>233</v>
      </c>
    </row>
    <row r="30" spans="3:11">
      <c r="C30" t="s">
        <v>234</v>
      </c>
      <c r="D30" s="61">
        <v>3</v>
      </c>
      <c r="E30" s="69">
        <f t="shared" si="2"/>
        <v>9.3508339385400853E-3</v>
      </c>
      <c r="F30" s="89"/>
      <c r="G30" s="61"/>
      <c r="H30" s="69"/>
    </row>
    <row r="31" spans="3:11">
      <c r="C31" t="s">
        <v>231</v>
      </c>
      <c r="D31" s="61">
        <v>0.82699999999999996</v>
      </c>
      <c r="E31" s="69">
        <f t="shared" si="2"/>
        <v>2.5777132223908836E-3</v>
      </c>
      <c r="F31" s="89"/>
      <c r="G31" s="61"/>
      <c r="H31" s="69" t="s">
        <v>226</v>
      </c>
    </row>
    <row r="32" spans="3:11">
      <c r="C32" s="31" t="s">
        <v>134</v>
      </c>
      <c r="D32" s="90">
        <f>SUM(D26:D31)</f>
        <v>320.827</v>
      </c>
      <c r="E32" s="91">
        <f>SUM(E26:E31)</f>
        <v>1</v>
      </c>
      <c r="F32" s="92"/>
      <c r="G32" s="90"/>
      <c r="H32" s="91">
        <v>0.14000000000000001</v>
      </c>
      <c r="I32" s="61">
        <f>SUM(I26:I29)</f>
        <v>131.25</v>
      </c>
    </row>
    <row r="33" spans="3:5">
      <c r="C33" s="61">
        <f>SUM(D26,D28:D31)</f>
        <v>262.827</v>
      </c>
      <c r="D33" s="61">
        <v>432</v>
      </c>
    </row>
    <row r="34" spans="3:5">
      <c r="D34" s="69">
        <f>(D32-D33)/D33</f>
        <v>-0.2573449074074074</v>
      </c>
      <c r="E34" t="s">
        <v>235</v>
      </c>
    </row>
    <row r="35" spans="3:5">
      <c r="C35" s="86" t="s">
        <v>236</v>
      </c>
      <c r="D35" s="94" t="s">
        <v>237</v>
      </c>
    </row>
    <row r="36" spans="3:5">
      <c r="C36" t="s">
        <v>238</v>
      </c>
    </row>
    <row r="37" spans="3:5">
      <c r="C37" t="s">
        <v>239</v>
      </c>
    </row>
    <row r="40" spans="3:5">
      <c r="C40" s="93" t="s">
        <v>240</v>
      </c>
      <c r="D40" t="s">
        <v>204</v>
      </c>
    </row>
    <row r="41" spans="3:5">
      <c r="D41" s="109" t="s">
        <v>209</v>
      </c>
      <c r="E41" t="s">
        <v>223</v>
      </c>
    </row>
    <row r="42" spans="3:5">
      <c r="C42" t="s">
        <v>241</v>
      </c>
      <c r="D42" s="110">
        <v>31</v>
      </c>
      <c r="E42" s="69">
        <f>D42/SUM($D$42:$D$43)</f>
        <v>0.68888888888888888</v>
      </c>
    </row>
    <row r="43" spans="3:5">
      <c r="C43" t="s">
        <v>242</v>
      </c>
      <c r="D43" s="110">
        <v>14</v>
      </c>
      <c r="E43" s="69">
        <f>D43/SUM($D$42:$D$43)</f>
        <v>0.31111111111111112</v>
      </c>
    </row>
    <row r="44" spans="3:5">
      <c r="C44" t="s">
        <v>243</v>
      </c>
      <c r="D44" s="110">
        <v>17</v>
      </c>
      <c r="E44" s="69">
        <f>D44/SUM($D$42:$D$43)</f>
        <v>0.37777777777777777</v>
      </c>
    </row>
    <row r="45" spans="3:5">
      <c r="D45" s="111">
        <f>SUM(D42:D44)</f>
        <v>62</v>
      </c>
    </row>
    <row r="46" spans="3:5">
      <c r="D46" s="112">
        <v>93</v>
      </c>
      <c r="E46" s="79">
        <f>((D46*D45)/D46)*0.1</f>
        <v>6.2</v>
      </c>
    </row>
    <row r="48" spans="3:5">
      <c r="E48" s="113"/>
    </row>
    <row r="50" spans="3:15">
      <c r="C50" s="93" t="s">
        <v>244</v>
      </c>
      <c r="I50" t="s">
        <v>245</v>
      </c>
    </row>
    <row r="51" spans="3:15">
      <c r="I51" s="61">
        <v>48</v>
      </c>
      <c r="J51" t="s">
        <v>246</v>
      </c>
      <c r="K51" s="61">
        <f>SUM(L52:O52)/5</f>
        <v>-5.96</v>
      </c>
    </row>
    <row r="52" spans="3:15">
      <c r="K52">
        <v>-2.2000000000000002</v>
      </c>
      <c r="L52">
        <v>-4.4000000000000004</v>
      </c>
      <c r="M52">
        <v>-6.6</v>
      </c>
      <c r="N52">
        <v>-8.8000000000000007</v>
      </c>
      <c r="O52">
        <v>-10</v>
      </c>
    </row>
    <row r="54" spans="3:15">
      <c r="C54" t="s">
        <v>247</v>
      </c>
      <c r="D54" t="s">
        <v>224</v>
      </c>
      <c r="E54" t="s">
        <v>248</v>
      </c>
    </row>
    <row r="55" spans="3:15">
      <c r="C55" t="s">
        <v>249</v>
      </c>
      <c r="D55" s="88">
        <v>568</v>
      </c>
      <c r="E55" s="96">
        <v>0</v>
      </c>
    </row>
    <row r="56" spans="3:15">
      <c r="C56" t="s">
        <v>250</v>
      </c>
      <c r="D56" s="88">
        <f>-I26</f>
        <v>-78</v>
      </c>
      <c r="E56" s="96">
        <v>-13.291158501440901</v>
      </c>
    </row>
    <row r="57" spans="3:15">
      <c r="C57" t="s">
        <v>251</v>
      </c>
      <c r="D57" s="88">
        <f>-I28</f>
        <v>-13.25</v>
      </c>
      <c r="E57" s="96">
        <v>-15.8731988472622</v>
      </c>
    </row>
    <row r="58" spans="3:15">
      <c r="C58" t="s">
        <v>252</v>
      </c>
      <c r="D58" s="88">
        <f>-I27</f>
        <v>-15</v>
      </c>
      <c r="E58" s="96">
        <v>20</v>
      </c>
    </row>
    <row r="59" spans="3:15">
      <c r="C59" t="s">
        <v>253</v>
      </c>
      <c r="D59" s="88">
        <v>-30</v>
      </c>
      <c r="E59" s="97">
        <v>10</v>
      </c>
    </row>
    <row r="60" spans="3:15">
      <c r="C60" t="s">
        <v>254</v>
      </c>
      <c r="D60" s="88">
        <f>-0.6*(1.1+2.1)</f>
        <v>-1.92</v>
      </c>
      <c r="E60" s="97">
        <v>0</v>
      </c>
    </row>
    <row r="61" spans="3:15">
      <c r="C61" t="s">
        <v>255</v>
      </c>
      <c r="D61" s="88">
        <v>-6</v>
      </c>
      <c r="E61" s="97" t="e">
        <f>Véhicules!#REF!/1000</f>
        <v>#REF!</v>
      </c>
    </row>
    <row r="62" spans="3:15">
      <c r="C62" t="s">
        <v>256</v>
      </c>
      <c r="D62" s="88">
        <v>-48</v>
      </c>
      <c r="E62" s="96">
        <v>18</v>
      </c>
    </row>
    <row r="63" spans="3:15">
      <c r="C63" t="s">
        <v>257</v>
      </c>
      <c r="D63" s="88">
        <f>SUM(D56:D62)+D55</f>
        <v>375.83000000000004</v>
      </c>
      <c r="E63" s="96" t="e">
        <f>SUM(E56:E62)</f>
        <v>#REF!</v>
      </c>
    </row>
    <row r="64" spans="3:15">
      <c r="D64" s="69">
        <f>-(D63+D55)/D55</f>
        <v>-1.6616725352112678</v>
      </c>
    </row>
    <row r="66" spans="3:4">
      <c r="C66" t="s">
        <v>258</v>
      </c>
      <c r="D66" s="61">
        <f>SUM(D56:D62)</f>
        <v>-192.17</v>
      </c>
    </row>
    <row r="67" spans="3:4">
      <c r="D67" s="69">
        <f>D66/D55</f>
        <v>-0.33832746478873238</v>
      </c>
    </row>
  </sheetData>
  <sortState xmlns:xlrd2="http://schemas.microsoft.com/office/spreadsheetml/2017/richdata2" ref="C42:E44">
    <sortCondition descending="1" ref="D42:D44"/>
  </sortState>
  <mergeCells count="2">
    <mergeCell ref="B5:B6"/>
    <mergeCell ref="B9:B10"/>
  </mergeCells>
  <phoneticPr fontId="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F7A6-8521-4259-8412-C3E2EBC37702}">
  <dimension ref="C20:H28"/>
  <sheetViews>
    <sheetView workbookViewId="0"/>
  </sheetViews>
  <sheetFormatPr defaultColWidth="11.42578125" defaultRowHeight="14.45"/>
  <cols>
    <col min="2" max="3" width="19.42578125" bestFit="1" customWidth="1"/>
    <col min="4" max="4" width="27.140625" bestFit="1" customWidth="1"/>
    <col min="5" max="5" width="18.28515625" bestFit="1" customWidth="1"/>
    <col min="6" max="6" width="15.7109375" bestFit="1" customWidth="1"/>
    <col min="7" max="7" width="13.28515625" bestFit="1" customWidth="1"/>
  </cols>
  <sheetData>
    <row r="20" spans="3:8">
      <c r="C20" s="2"/>
      <c r="D20" s="2"/>
      <c r="E20" s="2"/>
      <c r="F20" s="2"/>
      <c r="G20" s="2"/>
      <c r="H20" s="2"/>
    </row>
    <row r="21" spans="3:8">
      <c r="C21" s="196"/>
      <c r="D21" s="2"/>
      <c r="E21" s="2"/>
      <c r="F21" s="2"/>
      <c r="G21" s="2"/>
      <c r="H21" s="2"/>
    </row>
    <row r="22" spans="3:8">
      <c r="C22" s="79"/>
      <c r="D22" s="79"/>
      <c r="E22" s="79"/>
      <c r="F22" s="79"/>
      <c r="G22" s="79"/>
    </row>
    <row r="23" spans="3:8">
      <c r="C23" s="61"/>
      <c r="D23" s="61"/>
      <c r="E23" s="61"/>
      <c r="F23" s="61"/>
      <c r="G23" s="61"/>
      <c r="H23" s="61"/>
    </row>
    <row r="27" spans="3:8">
      <c r="C27" s="79"/>
      <c r="D27" s="79"/>
      <c r="E27" s="79"/>
    </row>
    <row r="28" spans="3:8">
      <c r="C28" s="61"/>
      <c r="D28" s="61"/>
      <c r="E28" s="61"/>
      <c r="F28" s="6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ssion_x003a_ xmlns="30da799e-c18f-4aab-97ef-bbd434276f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3DFAAE88F10C4FA107DBDE146F42AE" ma:contentTypeVersion="4" ma:contentTypeDescription="Crée un document." ma:contentTypeScope="" ma:versionID="eae0b26e0db0cc7c42dd2038f0c807cb">
  <xsd:schema xmlns:xsd="http://www.w3.org/2001/XMLSchema" xmlns:xs="http://www.w3.org/2001/XMLSchema" xmlns:p="http://schemas.microsoft.com/office/2006/metadata/properties" xmlns:ns2="30da799e-c18f-4aab-97ef-bbd434276f64" targetNamespace="http://schemas.microsoft.com/office/2006/metadata/properties" ma:root="true" ma:fieldsID="eada1dd96f4224a242fc86d54813e101" ns2:_="">
    <xsd:import namespace="30da799e-c18f-4aab-97ef-bbd434276f64"/>
    <xsd:element name="properties">
      <xsd:complexType>
        <xsd:sequence>
          <xsd:element name="documentManagement">
            <xsd:complexType>
              <xsd:all>
                <xsd:element ref="ns2:Mission_x003a_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a799e-c18f-4aab-97ef-bbd434276f64" elementFormDefault="qualified">
    <xsd:import namespace="http://schemas.microsoft.com/office/2006/documentManagement/types"/>
    <xsd:import namespace="http://schemas.microsoft.com/office/infopath/2007/PartnerControls"/>
    <xsd:element name="Mission_x003a_" ma:index="8" nillable="true" ma:displayName="Mission :" ma:description="analyser documents client&#10;générer rapport&#10;générer plan d’action" ma:format="Dropdown" ma:internalName="Mission_x003a_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CA3E31-0588-4B1D-A4B9-95080CD1B4A1}"/>
</file>

<file path=customXml/itemProps2.xml><?xml version="1.0" encoding="utf-8"?>
<ds:datastoreItem xmlns:ds="http://schemas.openxmlformats.org/officeDocument/2006/customXml" ds:itemID="{48327BE0-F353-49BA-90D4-7C1BEFA18284}"/>
</file>

<file path=customXml/itemProps3.xml><?xml version="1.0" encoding="utf-8"?>
<ds:datastoreItem xmlns:ds="http://schemas.openxmlformats.org/officeDocument/2006/customXml" ds:itemID="{550FBC4C-ADF2-4956-9CBD-61277AEFA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François KORNMANN</dc:creator>
  <cp:keywords/>
  <dc:description/>
  <cp:lastModifiedBy/>
  <cp:revision/>
  <dcterms:created xsi:type="dcterms:W3CDTF">2012-04-16T12:50:46Z</dcterms:created>
  <dcterms:modified xsi:type="dcterms:W3CDTF">2026-04-20T14:44:18Z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0x0101003F3DFAAE88F10C4FA107DBDE146F42AE</vt:lpwstr>
  </property>
  <property fmtid="{D5CDD505-2E9C-101B-9397-08002B2CF9AE}" pid="3" name="MediaServiceImageTags">
    <vt:lpwstr/>
  </property>
</Properties>
</file>